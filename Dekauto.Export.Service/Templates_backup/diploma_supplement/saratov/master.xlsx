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0" yWindow="0" windowWidth="12930" windowHeight="5655" tabRatio="755" firstSheet="3" activeTab="6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39" sheetId="15" r:id="rId6"/>
    <sheet name="Оборотная 39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39'!$A$1:$DC$156</definedName>
  </definedNames>
  <calcPr calcId="162913" refMode="R1C1"/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AV47" i="10" l="1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C40" i="15" l="1"/>
  <c r="C37" i="15"/>
  <c r="C34" i="15"/>
  <c r="C31" i="15"/>
  <c r="C28" i="15"/>
  <c r="C25" i="15"/>
  <c r="C22" i="15"/>
  <c r="C19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80" i="10" l="1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80" i="10"/>
  <c r="AR79" i="10"/>
  <c r="AR78" i="10"/>
  <c r="AR77" i="10"/>
  <c r="AR76" i="10"/>
  <c r="AR75" i="10"/>
  <c r="AR74" i="10"/>
  <c r="AR73" i="10"/>
  <c r="AR72" i="10"/>
  <c r="AR71" i="10"/>
  <c r="AR70" i="10"/>
  <c r="AR69" i="10"/>
  <c r="AR68" i="10"/>
  <c r="AR67" i="10"/>
  <c r="AR66" i="10"/>
  <c r="AR65" i="10"/>
  <c r="AR64" i="10"/>
  <c r="AR63" i="10"/>
  <c r="AR62" i="10"/>
  <c r="AR61" i="10"/>
  <c r="AR60" i="10"/>
  <c r="AR59" i="10"/>
  <c r="AR58" i="10"/>
  <c r="AR57" i="10"/>
  <c r="AR56" i="10"/>
  <c r="AR55" i="10"/>
  <c r="AR54" i="10"/>
  <c r="AR53" i="10"/>
  <c r="AR52" i="10"/>
  <c r="AR51" i="10"/>
  <c r="AR50" i="10"/>
  <c r="AR49" i="10"/>
  <c r="AR48" i="10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<sst xmlns="http://schemas.openxmlformats.org/spreadsheetml/2006/main" count="346" uniqueCount="173">
  <si>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</si>
  <si>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</si>
  <si>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</si>
  <si>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</si>
  <si>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</si>
  <si>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</si>
  <si>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</si>
  <si>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</si>
  <si>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</si>
  <si>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</si>
  <si>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</si>
  <si>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</si>
  <si>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</si>
  <si>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</si>
  <si>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</si>
  <si>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</si>
  <si>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</si>
  <si>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</si>
  <si>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</si>
  <si>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</si>
  <si>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</si>
  <si>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</si>
  <si>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</si>
  <si>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</si>
  <si>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</si>
  <si>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</si>
  <si>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</si>
  <si>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</si>
  <si>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</si>
  <si>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</si>
  <si>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</si>
  <si>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</si>
  <si>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</si>
  <si>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</si>
  <si>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</si>
  <si>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</si>
  <si>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</si>
  <si>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</si>
  <si>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</si>
  <si>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</si>
  <si>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</si>
  <si>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</si>
  <si>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</si>
  <si>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</si>
  <si>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</si>
  <si>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</si>
  <si>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</si>
  <si>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</si>
  <si>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</si>
  <si>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</si>
  <si>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</si>
  <si>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</si>
  <si>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</si>
  <si>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</si>
  <si>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</si>
  <si>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</si>
  <si>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</si>
  <si>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</si>
  <si>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</si>
  <si>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</si>
  <si>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</si>
  <si>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</si>
  <si>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</si>
  <si>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</si>
  <si>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</si>
  <si>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</si>
  <si>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</si>
  <si>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</si>
  <si>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</si>
  <si>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</si>
  <si>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</si>
  <si>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</si>
  <si>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</si>
  <si>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</si>
  <si>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</si>
  <si>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</si>
  <si>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</si>
  <si>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</si>
  <si>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</si>
  <si>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</si>
  <si>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</si>
  <si>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</si>
  <si>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</si>
  <si>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</si>
  <si>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</si>
  <si>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</si>
  <si>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</si>
  <si>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</si>
  <si>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</si>
  <si>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</si>
  <si>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</si>
  <si>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</si>
  <si>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</si>
  <si>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</si>
  <si>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</si>
  <si>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</si>
  <si>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</si>
  <si>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</si>
  <si>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</si>
  <si>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</si>
  <si>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</si>
  <si>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</si>
  <si>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</si>
  <si>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</si>
  <si>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</si>
  <si>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</si>
  <si>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</si>
  <si>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</si>
  <si>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</si>
  <si>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</si>
  <si>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</si>
  <si>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</si>
  <si>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</si>
  <si>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</si>
  <si>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</si>
  <si>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</si>
  <si>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</si>
  <si>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</si>
  <si>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</si>
  <si>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</si>
  <si>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</si>
  <si>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</si>
  <si>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</si>
  <si>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</si>
  <si>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</si>
  <si>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</si>
  <si>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</si>
  <si>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</si>
  <si>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</si>
  <si>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</si>
  <si>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</si>
  <si>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</si>
  <si>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</si>
  <si>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</si>
  <si>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</si>
  <si>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</si>
  <si>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</si>
  <si>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</si>
  <si>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</si>
  <si>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</si>
  <si>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</si>
  <si>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</si>
  <si>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</si>
  <si>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</si>
  <si>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</si>
  <si>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</si>
  <si>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</si>
  <si>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</si>
  <si>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</si>
  <si>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</si>
  <si>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</si>
  <si>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</si>
  <si>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</si>
  <si>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</si>
  <si>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</si>
  <si>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</si>
  <si>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</si>
  <si>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</si>
  <si>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</si>
  <si>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Магистр</t>
  </si>
  <si>
    <t>37.04.01 Психология</t>
  </si>
  <si>
    <t>магистра</t>
  </si>
  <si>
    <t xml:space="preserve">Выпускная квалификационная работа (магистерская диссертация) </t>
  </si>
  <si>
    <t>Дисицплина 66</t>
  </si>
  <si>
    <t>Наименование ОПОП</t>
  </si>
  <si>
    <t xml:space="preserve">Направленность (профиль) образовательной программы: </t>
  </si>
  <si>
    <t>XXXX/М24</t>
  </si>
  <si>
    <t>XX июня 2024 года</t>
  </si>
  <si>
    <t>(протокол № ___ от «XX» июня 2024 г.)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</si>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</sst>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17" sqref="B1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72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161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166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167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73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17" sqref="B1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85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87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86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159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160</v>
      </c>
      <c r="C14" s="57"/>
      <c r="D14" s="57"/>
      <c r="E14" s="57"/>
      <c r="F14" s="3"/>
    </row>
    <row r="15" spans="1:6" x14ac:dyDescent="0.25">
      <c r="A15" s="56" t="s">
        <v>80</v>
      </c>
      <c r="B15" s="70" t="s">
        <v>168</v>
      </c>
      <c r="C15" s="154" t="s">
        <v>88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2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opLeftCell="A61" zoomScaleNormal="100" workbookViewId="0">
      <selection activeCell="D73" sqref="D73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81</v>
      </c>
      <c r="C1" s="74" t="s">
        <v>82</v>
      </c>
      <c r="D1" s="74" t="s">
        <v>24</v>
      </c>
      <c r="E1" s="72" t="s">
        <v>83</v>
      </c>
      <c r="F1" s="3"/>
    </row>
    <row r="2" spans="1:6" x14ac:dyDescent="0.25">
      <c r="A2" s="75">
        <v>1</v>
      </c>
      <c r="B2" s="51" t="s">
        <v>89</v>
      </c>
      <c r="C2" s="52" t="s">
        <v>169</v>
      </c>
      <c r="D2" s="51" t="s">
        <v>170</v>
      </c>
      <c r="E2" s="73">
        <f>LEN(B2)</f>
        <v>12</v>
      </c>
      <c r="F2" s="3"/>
    </row>
    <row r="3" spans="1:6" x14ac:dyDescent="0.25">
      <c r="A3" s="75">
        <v>2</v>
      </c>
      <c r="B3" s="51" t="s">
        <v>90</v>
      </c>
      <c r="C3" s="52" t="s">
        <v>169</v>
      </c>
      <c r="D3" s="51" t="s">
        <v>170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91</v>
      </c>
      <c r="C4" s="52" t="s">
        <v>169</v>
      </c>
      <c r="D4" s="51" t="s">
        <v>170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92</v>
      </c>
      <c r="C5" s="52" t="s">
        <v>169</v>
      </c>
      <c r="D5" s="51" t="s">
        <v>170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93</v>
      </c>
      <c r="C6" s="52" t="s">
        <v>169</v>
      </c>
      <c r="D6" s="51" t="s">
        <v>170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94</v>
      </c>
      <c r="C7" s="52" t="s">
        <v>169</v>
      </c>
      <c r="D7" s="51" t="s">
        <v>170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95</v>
      </c>
      <c r="C8" s="52" t="s">
        <v>169</v>
      </c>
      <c r="D8" s="51" t="s">
        <v>170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96</v>
      </c>
      <c r="C9" s="52" t="s">
        <v>169</v>
      </c>
      <c r="D9" s="51" t="s">
        <v>170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97</v>
      </c>
      <c r="C10" s="52" t="s">
        <v>169</v>
      </c>
      <c r="D10" s="51" t="s">
        <v>170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98</v>
      </c>
      <c r="C11" s="52" t="s">
        <v>169</v>
      </c>
      <c r="D11" s="51" t="s">
        <v>170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99</v>
      </c>
      <c r="C12" s="52" t="s">
        <v>169</v>
      </c>
      <c r="D12" s="51" t="s">
        <v>170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100</v>
      </c>
      <c r="C13" s="52" t="s">
        <v>169</v>
      </c>
      <c r="D13" s="51" t="s">
        <v>170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101</v>
      </c>
      <c r="C14" s="52" t="s">
        <v>169</v>
      </c>
      <c r="D14" s="51" t="s">
        <v>170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102</v>
      </c>
      <c r="C15" s="52" t="s">
        <v>169</v>
      </c>
      <c r="D15" s="51" t="s">
        <v>170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103</v>
      </c>
      <c r="C16" s="52" t="s">
        <v>169</v>
      </c>
      <c r="D16" s="51" t="s">
        <v>170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104</v>
      </c>
      <c r="C17" s="52" t="s">
        <v>169</v>
      </c>
      <c r="D17" s="51" t="s">
        <v>170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105</v>
      </c>
      <c r="C18" s="52" t="s">
        <v>169</v>
      </c>
      <c r="D18" s="51" t="s">
        <v>170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106</v>
      </c>
      <c r="C19" s="52" t="s">
        <v>169</v>
      </c>
      <c r="D19" s="51" t="s">
        <v>170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107</v>
      </c>
      <c r="C20" s="52" t="s">
        <v>169</v>
      </c>
      <c r="D20" s="51" t="s">
        <v>170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108</v>
      </c>
      <c r="C21" s="52" t="s">
        <v>169</v>
      </c>
      <c r="D21" s="51" t="s">
        <v>170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109</v>
      </c>
      <c r="C22" s="52" t="s">
        <v>169</v>
      </c>
      <c r="D22" s="51" t="s">
        <v>170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110</v>
      </c>
      <c r="C23" s="52" t="s">
        <v>169</v>
      </c>
      <c r="D23" s="51" t="s">
        <v>170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111</v>
      </c>
      <c r="C24" s="52" t="s">
        <v>169</v>
      </c>
      <c r="D24" s="51" t="s">
        <v>170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112</v>
      </c>
      <c r="C25" s="52" t="s">
        <v>169</v>
      </c>
      <c r="D25" s="51" t="s">
        <v>170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113</v>
      </c>
      <c r="C26" s="52" t="s">
        <v>169</v>
      </c>
      <c r="D26" s="51" t="s">
        <v>170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114</v>
      </c>
      <c r="C27" s="52" t="s">
        <v>169</v>
      </c>
      <c r="D27" s="51" t="s">
        <v>170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115</v>
      </c>
      <c r="C28" s="52" t="s">
        <v>169</v>
      </c>
      <c r="D28" s="51" t="s">
        <v>170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116</v>
      </c>
      <c r="C29" s="52" t="s">
        <v>169</v>
      </c>
      <c r="D29" s="51" t="s">
        <v>170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117</v>
      </c>
      <c r="C30" s="52" t="s">
        <v>169</v>
      </c>
      <c r="D30" s="51" t="s">
        <v>170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118</v>
      </c>
      <c r="C31" s="52" t="s">
        <v>169</v>
      </c>
      <c r="D31" s="51" t="s">
        <v>170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119</v>
      </c>
      <c r="C32" s="52" t="s">
        <v>169</v>
      </c>
      <c r="D32" s="51" t="s">
        <v>170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120</v>
      </c>
      <c r="C33" s="52" t="s">
        <v>169</v>
      </c>
      <c r="D33" s="51" t="s">
        <v>170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121</v>
      </c>
      <c r="C34" s="52" t="s">
        <v>169</v>
      </c>
      <c r="D34" s="51" t="s">
        <v>170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122</v>
      </c>
      <c r="C35" s="52" t="s">
        <v>169</v>
      </c>
      <c r="D35" s="51" t="s">
        <v>170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123</v>
      </c>
      <c r="C36" s="52" t="s">
        <v>169</v>
      </c>
      <c r="D36" s="51" t="s">
        <v>170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124</v>
      </c>
      <c r="C37" s="52" t="s">
        <v>169</v>
      </c>
      <c r="D37" s="51" t="s">
        <v>170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125</v>
      </c>
      <c r="C38" s="52" t="s">
        <v>169</v>
      </c>
      <c r="D38" s="51" t="s">
        <v>170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126</v>
      </c>
      <c r="C39" s="52" t="s">
        <v>169</v>
      </c>
      <c r="D39" s="51" t="s">
        <v>170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127</v>
      </c>
      <c r="C40" s="52" t="s">
        <v>169</v>
      </c>
      <c r="D40" s="51" t="s">
        <v>170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128</v>
      </c>
      <c r="C41" s="52" t="s">
        <v>169</v>
      </c>
      <c r="D41" s="51" t="s">
        <v>170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129</v>
      </c>
      <c r="C42" s="52" t="s">
        <v>169</v>
      </c>
      <c r="D42" s="51" t="s">
        <v>170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130</v>
      </c>
      <c r="C43" s="52" t="s">
        <v>169</v>
      </c>
      <c r="D43" s="51" t="s">
        <v>170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131</v>
      </c>
      <c r="C44" s="52" t="s">
        <v>169</v>
      </c>
      <c r="D44" s="51" t="s">
        <v>170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132</v>
      </c>
      <c r="C45" s="52" t="s">
        <v>169</v>
      </c>
      <c r="D45" s="51" t="s">
        <v>170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133</v>
      </c>
      <c r="C46" s="52" t="s">
        <v>169</v>
      </c>
      <c r="D46" s="51" t="s">
        <v>170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134</v>
      </c>
      <c r="C47" s="52" t="s">
        <v>169</v>
      </c>
      <c r="D47" s="51" t="s">
        <v>170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135</v>
      </c>
      <c r="C48" s="52" t="s">
        <v>169</v>
      </c>
      <c r="D48" s="51" t="s">
        <v>170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136</v>
      </c>
      <c r="C49" s="52" t="s">
        <v>169</v>
      </c>
      <c r="D49" s="51" t="s">
        <v>170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137</v>
      </c>
      <c r="C50" s="52" t="s">
        <v>169</v>
      </c>
      <c r="D50" s="51" t="s">
        <v>170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138</v>
      </c>
      <c r="C51" s="52" t="s">
        <v>169</v>
      </c>
      <c r="D51" s="51" t="s">
        <v>170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139</v>
      </c>
      <c r="C52" s="52" t="s">
        <v>169</v>
      </c>
      <c r="D52" s="51" t="s">
        <v>170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140</v>
      </c>
      <c r="C53" s="52" t="s">
        <v>169</v>
      </c>
      <c r="D53" s="51" t="s">
        <v>170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141</v>
      </c>
      <c r="C54" s="52" t="s">
        <v>169</v>
      </c>
      <c r="D54" s="51" t="s">
        <v>170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142</v>
      </c>
      <c r="C55" s="52" t="s">
        <v>169</v>
      </c>
      <c r="D55" s="51" t="s">
        <v>170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143</v>
      </c>
      <c r="C56" s="52" t="s">
        <v>169</v>
      </c>
      <c r="D56" s="51" t="s">
        <v>170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144</v>
      </c>
      <c r="C57" s="52" t="s">
        <v>169</v>
      </c>
      <c r="D57" s="51" t="s">
        <v>170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145</v>
      </c>
      <c r="C58" s="52" t="s">
        <v>169</v>
      </c>
      <c r="D58" s="51" t="s">
        <v>170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146</v>
      </c>
      <c r="C59" s="52" t="s">
        <v>169</v>
      </c>
      <c r="D59" s="51" t="s">
        <v>170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147</v>
      </c>
      <c r="C60" s="52" t="s">
        <v>169</v>
      </c>
      <c r="D60" s="51" t="s">
        <v>170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148</v>
      </c>
      <c r="C61" s="52" t="s">
        <v>169</v>
      </c>
      <c r="D61" s="51" t="s">
        <v>170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149</v>
      </c>
      <c r="C62" s="52" t="s">
        <v>169</v>
      </c>
      <c r="D62" s="51" t="s">
        <v>170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150</v>
      </c>
      <c r="C63" s="52" t="s">
        <v>169</v>
      </c>
      <c r="D63" s="51" t="s">
        <v>170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151</v>
      </c>
      <c r="C64" s="52" t="s">
        <v>169</v>
      </c>
      <c r="D64" s="51" t="s">
        <v>170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152</v>
      </c>
      <c r="C65" s="52" t="s">
        <v>169</v>
      </c>
      <c r="D65" s="51" t="s">
        <v>170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153</v>
      </c>
      <c r="C66" s="52" t="s">
        <v>169</v>
      </c>
      <c r="D66" s="51" t="s">
        <v>170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163</v>
      </c>
      <c r="C67" s="52" t="s">
        <v>169</v>
      </c>
      <c r="D67" s="51" t="s">
        <v>170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169</v>
      </c>
      <c r="D68" s="51" t="s">
        <v>170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169</v>
      </c>
      <c r="D69" s="51" t="s">
        <v>170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169</v>
      </c>
      <c r="D70" s="51" t="s">
        <v>170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169</v>
      </c>
      <c r="D71" s="51" t="s">
        <v>170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169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169</v>
      </c>
      <c r="D74" s="51" t="s">
        <v>170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169</v>
      </c>
      <c r="D75" s="51" t="s">
        <v>170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169</v>
      </c>
      <c r="D76" s="51" t="s">
        <v>170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169</v>
      </c>
      <c r="D77" s="51" t="s">
        <v>170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169</v>
      </c>
      <c r="D78" s="51" t="s">
        <v>170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171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162</v>
      </c>
      <c r="C81" s="52"/>
      <c r="D81" s="51"/>
      <c r="E81" s="73">
        <f t="shared" si="1"/>
        <v>61</v>
      </c>
      <c r="F81" s="3"/>
    </row>
    <row r="82" spans="1:6" x14ac:dyDescent="0.25">
      <c r="A82" s="75">
        <v>81</v>
      </c>
      <c r="B82" s="51" t="s">
        <v>70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71</v>
      </c>
      <c r="C83" s="52" t="s">
        <v>63</v>
      </c>
      <c r="D83" s="51" t="s">
        <v>170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74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75</v>
      </c>
      <c r="C86" s="52" t="s">
        <v>172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76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77</v>
      </c>
      <c r="C88" s="52"/>
      <c r="D88" s="51" t="s">
        <v>170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76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77</v>
      </c>
      <c r="C90" s="52"/>
      <c r="D90" s="51" t="s">
        <v>170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78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L22" sqref="L22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79</v>
      </c>
      <c r="C1" s="160"/>
      <c r="D1" s="74" t="s">
        <v>84</v>
      </c>
      <c r="E1" s="86"/>
    </row>
    <row r="2" spans="1:5" x14ac:dyDescent="0.25">
      <c r="A2" s="82">
        <v>1</v>
      </c>
      <c r="B2" s="157" t="s">
        <v>165</v>
      </c>
      <c r="C2" s="158"/>
      <c r="D2" s="79">
        <f>LEN(B2)</f>
        <v>52</v>
      </c>
      <c r="E2" s="76"/>
    </row>
    <row r="3" spans="1:5" x14ac:dyDescent="0.25">
      <c r="A3" s="79">
        <v>2</v>
      </c>
      <c r="B3" s="157" t="s">
        <v>164</v>
      </c>
      <c r="C3" s="158"/>
      <c r="D3" s="79">
        <f t="shared" ref="D3:D41" si="0">LEN(B3)</f>
        <v>17</v>
      </c>
      <c r="E3" s="76"/>
    </row>
    <row r="4" spans="1:5" x14ac:dyDescent="0.25">
      <c r="A4" s="79">
        <v>3</v>
      </c>
      <c r="B4" s="157" t="s">
        <v>65</v>
      </c>
      <c r="C4" s="158"/>
      <c r="D4" s="79">
        <f t="shared" si="0"/>
        <v>21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password="DBF4" sheet="1" objects="1" scenarios="1"/>
  <mergeCells count="4">
    <mergeCell ref="B2:C2"/>
    <mergeCell ref="B3:C3"/>
    <mergeCell ref="B1:C1"/>
    <mergeCell ref="B4:C4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69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K41" zoomScaleNormal="70" zoomScaleSheetLayoutView="100" workbookViewId="0">
      <selection activeCell="BV147" sqref="BV147:CZ152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8" t="str">
        <f>IF(LEN(TRIM('4 доп.сведения'!B2))=0," ",'4 доп.сведения'!B2)</f>
        <v xml:space="preserve">Направленность (профиль) образовательной программы: 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8" t="str">
        <f>IF(LEN(TRIM('4 доп.сведения'!B3))=0," ",'4 доп.сведения'!B3)</f>
        <v>Наименование ОПОП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2" t="str">
        <f>IF(LEN(TRIM('4 доп.сведения'!B4))=0," ",'4 доп.сведения'!B4)</f>
        <v>Форма обучения: очная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2" t="str">
        <f>IF(LEN(TRIM('4 доп.сведения'!B5))=0," ",'4 доп.сведения'!B5)</f>
        <v xml:space="preserve"> 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4" t="str">
        <f>'1 Обладатель диплома'!B3</f>
        <v>Фамилия</v>
      </c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2" t="str">
        <f>IF(LEN(TRIM('4 доп.сведения'!B6))=0," ",'4 доп.сведения'!B6)</f>
        <v xml:space="preserve"> 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2" t="str">
        <f>IF(LEN(TRIM('4 доп.сведения'!B7))=0," ",'4 доп.сведения'!B7)</f>
        <v xml:space="preserve"> 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2" t="str">
        <f>IF(LEN(TRIM('4 доп.сведения'!B8))=0," ",'4 доп.сведения'!B8)</f>
        <v xml:space="preserve"> </v>
      </c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2" t="str">
        <f>IF(LEN(TRIM('4 доп.сведения'!B9))=0," ",'4 доп.сведения'!B9)</f>
        <v xml:space="preserve"> 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4" t="str">
        <f>'1 Обладатель диплома'!B4</f>
        <v>Имя</v>
      </c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2" t="str">
        <f>IF(LEN(TRIM('4 доп.сведения'!B10))=0," ",'4 доп.сведения'!B10)</f>
        <v xml:space="preserve"> 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2" t="str">
        <f>IF(LEN(TRIM('4 доп.сведения'!B11))=0," ",'4 доп.сведения'!B11)</f>
        <v xml:space="preserve"> </v>
      </c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30"/>
      <c r="BB45" s="30"/>
      <c r="BC45" s="30"/>
      <c r="BD45" s="30"/>
      <c r="BE45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2" t="str">
        <f>IF(LEN(TRIM('4 доп.сведения'!B12))=0," ",'4 доп.сведения'!B12)</f>
        <v xml:space="preserve"> </v>
      </c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30"/>
      <c r="BB46" s="30"/>
      <c r="BC46" s="30"/>
      <c r="BD46" s="30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30"/>
      <c r="BB47" s="30"/>
      <c r="BC47" s="30"/>
      <c r="BD47" s="30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30"/>
      <c r="BB48" s="30"/>
      <c r="BC48" s="30"/>
      <c r="BD48" s="30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2" t="str">
        <f>IF(LEN(TRIM('4 доп.сведения'!B13))=0," ",'4 доп.сведения'!B13)</f>
        <v xml:space="preserve"> </v>
      </c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30"/>
      <c r="BB49" s="30"/>
      <c r="BC49" s="30"/>
      <c r="BD49" s="30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4" t="str">
        <f>'1 Обладатель диплома'!B5</f>
        <v>Отчество</v>
      </c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30"/>
      <c r="BB50" s="30"/>
      <c r="BC50" s="30"/>
      <c r="BD50" s="30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30"/>
      <c r="BB51" s="30"/>
      <c r="BC51" s="30"/>
      <c r="BD51" s="30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2" t="str">
        <f>IF(LEN(TRIM('4 доп.сведения'!B14))=0," ",'4 доп.сведения'!B14)</f>
        <v xml:space="preserve"> </v>
      </c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30"/>
      <c r="BB52" s="30"/>
      <c r="BC52" s="30"/>
      <c r="BD52" s="30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30"/>
      <c r="BB53" s="30"/>
      <c r="BC53" s="30"/>
      <c r="BD53" s="30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30"/>
      <c r="BB54" s="30"/>
      <c r="BC54" s="30"/>
      <c r="BD54" s="30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2" t="str">
        <f>IF(LEN(TRIM('4 доп.сведения'!B15))=0," ",'4 доп.сведения'!B15)</f>
        <v xml:space="preserve"> </v>
      </c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30"/>
      <c r="BB55" s="30"/>
      <c r="BC55" s="30"/>
      <c r="BD55" s="30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30"/>
      <c r="BB56" s="30"/>
      <c r="BC56" s="30"/>
      <c r="BD56" s="30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30"/>
      <c r="BB57" s="30"/>
      <c r="BC57" s="30"/>
      <c r="BD57" s="30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2" t="str">
        <f>IF(LEN(TRIM('4 доп.сведения'!B16))=0," ",'4 доп.сведения'!B16)</f>
        <v xml:space="preserve"> 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30"/>
      <c r="BB58" s="30"/>
      <c r="BC58" s="30"/>
      <c r="BD58" s="30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30"/>
      <c r="BB59" s="30"/>
      <c r="BC59" s="30"/>
      <c r="BD59" s="30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4" t="str">
        <f>'1 Обладатель диплома'!B6</f>
        <v>01 января 1988 года</v>
      </c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30"/>
      <c r="BB60" s="30"/>
      <c r="BC60" s="30"/>
      <c r="BD60" s="30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2" t="str">
        <f>IF(LEN(TRIM('4 доп.сведения'!B17))=0," ",'4 доп.сведения'!B17)</f>
        <v xml:space="preserve"> </v>
      </c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30"/>
      <c r="BB61" s="30"/>
      <c r="BC61" s="30"/>
      <c r="BD61" s="30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30"/>
      <c r="BB62" s="30"/>
      <c r="BC62" s="30"/>
      <c r="BD62" s="30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30"/>
      <c r="BB63" s="30"/>
      <c r="BC63" s="30"/>
      <c r="BD63" s="30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2" t="str">
        <f>IF(LEN(TRIM('4 доп.сведения'!B18))=0," ",'4 доп.сведения'!B18)</f>
        <v xml:space="preserve"> </v>
      </c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30"/>
      <c r="BB64" s="30"/>
      <c r="BC64" s="30"/>
      <c r="BD64" s="30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30"/>
      <c r="BB65" s="30"/>
      <c r="BC65" s="30"/>
      <c r="BD65" s="30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30"/>
      <c r="BB66" s="30"/>
      <c r="BC66" s="30"/>
      <c r="BD66" s="30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2" t="str">
        <f>IF(LEN(TRIM('4 доп.сведения'!B19))=0," ",'4 доп.сведения'!B19)</f>
        <v xml:space="preserve"> </v>
      </c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30"/>
      <c r="BB67" s="30"/>
      <c r="BC67" s="30"/>
      <c r="BD67" s="30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30"/>
      <c r="BB68" s="30"/>
      <c r="BC68" s="30"/>
      <c r="BD68" s="30"/>
      <c r="BE68" s="162" t="str">
        <f>Диплом!B3</f>
        <v>г Москва</v>
      </c>
      <c r="BF68" s="162"/>
      <c r="BG68" s="162"/>
      <c r="BH68" s="162"/>
      <c r="BI68" s="162"/>
      <c r="BJ68" s="162"/>
      <c r="BK68" s="162"/>
      <c r="BL68" s="162"/>
      <c r="BM68" s="162"/>
      <c r="BN68" s="162"/>
      <c r="BO68" s="162"/>
      <c r="BP68" s="162"/>
      <c r="BQ68" s="162"/>
      <c r="BR68" s="162"/>
      <c r="BS68" s="162"/>
      <c r="BT68" s="162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30"/>
      <c r="BB69" s="30"/>
      <c r="BC69" s="30"/>
      <c r="BD69" s="30"/>
      <c r="BE69" s="162"/>
      <c r="BF69" s="162"/>
      <c r="BG69" s="162"/>
      <c r="BH69" s="162"/>
      <c r="BI69" s="162"/>
      <c r="BJ69" s="162"/>
      <c r="BK69" s="162"/>
      <c r="BL69" s="162"/>
      <c r="BM69" s="162"/>
      <c r="BN69" s="162"/>
      <c r="BO69" s="162"/>
      <c r="BP69" s="162"/>
      <c r="BQ69" s="162"/>
      <c r="BR69" s="162"/>
      <c r="BS69" s="162"/>
      <c r="BT69" s="162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2" t="str">
        <f>IF(LEN(TRIM('4 доп.сведения'!B20))=0," ",'4 доп.сведения'!B20)</f>
        <v xml:space="preserve"> 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2" t="str">
        <f>IF(LEN(TRIM('4 доп.сведения'!B21))=0," ",'4 доп.сведения'!B21)</f>
        <v xml:space="preserve"> </v>
      </c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2" t="str">
        <f>IF(LEN(TRIM('4 доп.сведения'!B22))=0," ",'4 доп.сведения'!B22)</f>
        <v xml:space="preserve"> </v>
      </c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2" t="str">
        <f>IF(LEN(TRIM('4 доп.сведения'!B23))=0," ",'4 доп.сведения'!B23)</f>
        <v xml:space="preserve"> </v>
      </c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6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6"/>
      <c r="CV80" s="166"/>
      <c r="CW80" s="166"/>
      <c r="CX80" s="166"/>
      <c r="CY80" s="166"/>
      <c r="CZ80" s="166"/>
      <c r="DA80" s="166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6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2" t="str">
        <f>IF(LEN(TRIM('4 доп.сведения'!B24))=0," ",'4 доп.сведения'!B24)</f>
        <v xml:space="preserve"> </v>
      </c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6"/>
      <c r="CV83" s="166"/>
      <c r="CW83" s="166"/>
      <c r="CX83" s="166"/>
      <c r="CY83" s="166"/>
      <c r="CZ83" s="166"/>
      <c r="DA83" s="166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2" t="str">
        <f>IF(LEN(TRIM('4 доп.сведения'!B25))=0," ",'4 доп.сведения'!B25)</f>
        <v xml:space="preserve"> </v>
      </c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30"/>
      <c r="BB87" s="30"/>
      <c r="BC87" s="30"/>
      <c r="BD87" s="30"/>
      <c r="BE87" s="162" t="str">
        <f>IF(Диплом!B4=""," ",Диплом!B4)</f>
        <v xml:space="preserve"> </v>
      </c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2" t="str">
        <f>IF(LEN(TRIM('4 доп.сведения'!B26))=0," ",'4 доп.сведения'!B26)</f>
        <v xml:space="preserve"> </v>
      </c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30"/>
      <c r="BB89" s="30"/>
      <c r="BC89" s="30"/>
      <c r="BD89" s="30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30"/>
      <c r="BB90" s="30"/>
      <c r="BC90" s="30"/>
      <c r="BD90" s="30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2" t="str">
        <f>IF(LEN(TRIM('4 доп.сведения'!B27))=0," ",'4 доп.сведения'!B27)</f>
        <v xml:space="preserve"> </v>
      </c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30"/>
      <c r="BB91" s="30"/>
      <c r="BC91" s="30"/>
      <c r="BD91" s="30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30"/>
      <c r="BB92" s="30"/>
      <c r="BC92" s="30"/>
      <c r="BD92" s="30"/>
      <c r="BE92" s="162"/>
      <c r="BF92" s="162"/>
      <c r="BG92" s="162"/>
      <c r="BH92" s="162"/>
      <c r="BI92" s="162"/>
      <c r="BJ92" s="162"/>
      <c r="BK92" s="162"/>
      <c r="BL92" s="162"/>
      <c r="BM92" s="162"/>
      <c r="BN92" s="162"/>
      <c r="BO92" s="162"/>
      <c r="BP92" s="162"/>
      <c r="BQ92" s="162"/>
      <c r="BR92" s="162"/>
      <c r="BS92" s="162"/>
      <c r="BT92" s="162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30"/>
      <c r="BB93" s="30"/>
      <c r="BC93" s="30"/>
      <c r="BD93" s="30"/>
      <c r="BE93" s="162"/>
      <c r="BF93" s="162"/>
      <c r="BG93" s="162"/>
      <c r="BH93" s="162"/>
      <c r="BI93" s="162"/>
      <c r="BJ93" s="162"/>
      <c r="BK93" s="162"/>
      <c r="BL93" s="162"/>
      <c r="BM93" s="162"/>
      <c r="BN93" s="162"/>
      <c r="BO93" s="162"/>
      <c r="BP93" s="162"/>
      <c r="BQ93" s="162"/>
      <c r="BR93" s="162"/>
      <c r="BS93" s="162"/>
      <c r="BT93" s="162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2"/>
      <c r="BF94" s="162"/>
      <c r="BG94" s="162"/>
      <c r="BH94" s="162"/>
      <c r="BI94" s="162"/>
      <c r="BJ94" s="162"/>
      <c r="BK94" s="162"/>
      <c r="BL94" s="162"/>
      <c r="BM94" s="162"/>
      <c r="BN94" s="162"/>
      <c r="BO94" s="162"/>
      <c r="BP94" s="162"/>
      <c r="BQ94" s="162"/>
      <c r="BR94" s="162"/>
      <c r="BS94" s="162"/>
      <c r="BT94" s="162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2"/>
      <c r="BF95" s="162"/>
      <c r="BG95" s="162"/>
      <c r="BH95" s="162"/>
      <c r="BI95" s="162"/>
      <c r="BJ95" s="162"/>
      <c r="BK95" s="162"/>
      <c r="BL95" s="162"/>
      <c r="BM95" s="162"/>
      <c r="BN95" s="162"/>
      <c r="BO95" s="162"/>
      <c r="BP95" s="162"/>
      <c r="BQ95" s="162"/>
      <c r="BR95" s="162"/>
      <c r="BS95" s="162"/>
      <c r="BT95" s="162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2" t="str">
        <f>Диплом!B5&amp;" "&amp;Диплом!B6</f>
        <v>магистра с отличием</v>
      </c>
      <c r="BF105" s="162"/>
      <c r="BG105" s="162"/>
      <c r="BH105" s="162"/>
      <c r="BI105" s="162"/>
      <c r="BJ105" s="162"/>
      <c r="BK105" s="162"/>
      <c r="BL105" s="162"/>
      <c r="BM105" s="162"/>
      <c r="BN105" s="162"/>
      <c r="BO105" s="162"/>
      <c r="BP105" s="162"/>
      <c r="BQ105" s="162"/>
      <c r="BR105" s="162"/>
      <c r="BS105" s="162"/>
      <c r="BT105" s="162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BO106" s="162"/>
      <c r="BP106" s="162"/>
      <c r="BQ106" s="162"/>
      <c r="BR106" s="162"/>
      <c r="BS106" s="162"/>
      <c r="BT106" s="162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2"/>
      <c r="BQ107" s="162"/>
      <c r="BR107" s="162"/>
      <c r="BS107" s="162"/>
      <c r="BT107" s="162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2"/>
      <c r="BF108" s="162"/>
      <c r="BG108" s="162"/>
      <c r="BH108" s="162"/>
      <c r="BI108" s="162"/>
      <c r="BJ108" s="162"/>
      <c r="BK108" s="162"/>
      <c r="BL108" s="162"/>
      <c r="BM108" s="162"/>
      <c r="BN108" s="162"/>
      <c r="BO108" s="162"/>
      <c r="BP108" s="162"/>
      <c r="BQ108" s="162"/>
      <c r="BR108" s="162"/>
      <c r="BS108" s="162"/>
      <c r="BT108" s="162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2"/>
      <c r="BQ110" s="162"/>
      <c r="BR110" s="162"/>
      <c r="BS110" s="162"/>
      <c r="BT110" s="162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2" t="str">
        <f>IF(LEN(TRIM('1 Обладатель диплома'!B11))=0," ",'1 Обладатель диплома'!B11)</f>
        <v>Магистр</v>
      </c>
      <c r="BX119" s="162"/>
      <c r="BY119" s="162"/>
      <c r="BZ119" s="162"/>
      <c r="CA119" s="162"/>
      <c r="CB119" s="162"/>
      <c r="CC119" s="162"/>
      <c r="CD119" s="162"/>
      <c r="CE119" s="162"/>
      <c r="CF119" s="162"/>
      <c r="CG119" s="162"/>
      <c r="CH119" s="162"/>
      <c r="CI119" s="162"/>
      <c r="CJ119" s="162"/>
      <c r="CK119" s="162"/>
      <c r="CL119" s="162"/>
      <c r="CM119" s="162"/>
      <c r="CN119" s="162"/>
      <c r="CO119" s="162"/>
      <c r="CP119" s="162"/>
      <c r="CQ119" s="162"/>
      <c r="CR119" s="162"/>
      <c r="CS119" s="162"/>
      <c r="CT119" s="162"/>
      <c r="CU119" s="162"/>
      <c r="CV119" s="162"/>
      <c r="CW119" s="162"/>
      <c r="CX119" s="162"/>
      <c r="CY119" s="162"/>
      <c r="CZ119" s="162"/>
      <c r="DA119" s="162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2"/>
      <c r="BX120" s="162"/>
      <c r="BY120" s="162"/>
      <c r="BZ120" s="162"/>
      <c r="CA120" s="162"/>
      <c r="CB120" s="162"/>
      <c r="CC120" s="162"/>
      <c r="CD120" s="162"/>
      <c r="CE120" s="162"/>
      <c r="CF120" s="162"/>
      <c r="CG120" s="162"/>
      <c r="CH120" s="162"/>
      <c r="CI120" s="162"/>
      <c r="CJ120" s="162"/>
      <c r="CK120" s="162"/>
      <c r="CL120" s="162"/>
      <c r="CM120" s="162"/>
      <c r="CN120" s="162"/>
      <c r="CO120" s="162"/>
      <c r="CP120" s="162"/>
      <c r="CQ120" s="162"/>
      <c r="CR120" s="162"/>
      <c r="CS120" s="162"/>
      <c r="CT120" s="162"/>
      <c r="CU120" s="162"/>
      <c r="CV120" s="162"/>
      <c r="CW120" s="162"/>
      <c r="CX120" s="162"/>
      <c r="CY120" s="162"/>
      <c r="CZ120" s="162"/>
      <c r="DA120" s="162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2"/>
      <c r="CJ121" s="162"/>
      <c r="CK121" s="162"/>
      <c r="CL121" s="162"/>
      <c r="CM121" s="162"/>
      <c r="CN121" s="162"/>
      <c r="CO121" s="162"/>
      <c r="CP121" s="162"/>
      <c r="CQ121" s="162"/>
      <c r="CR121" s="162"/>
      <c r="CS121" s="162"/>
      <c r="CT121" s="162"/>
      <c r="CU121" s="162"/>
      <c r="CV121" s="162"/>
      <c r="CW121" s="162"/>
      <c r="CX121" s="162"/>
      <c r="CY121" s="162"/>
      <c r="CZ121" s="162"/>
      <c r="DA121" s="162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2"/>
      <c r="BX122" s="162"/>
      <c r="BY122" s="162"/>
      <c r="BZ122" s="162"/>
      <c r="CA122" s="162"/>
      <c r="CB122" s="162"/>
      <c r="CC122" s="162"/>
      <c r="CD122" s="162"/>
      <c r="CE122" s="162"/>
      <c r="CF122" s="162"/>
      <c r="CG122" s="162"/>
      <c r="CH122" s="162"/>
      <c r="CI122" s="162"/>
      <c r="CJ122" s="162"/>
      <c r="CK122" s="162"/>
      <c r="CL122" s="162"/>
      <c r="CM122" s="162"/>
      <c r="CN122" s="162"/>
      <c r="CO122" s="162"/>
      <c r="CP122" s="162"/>
      <c r="CQ122" s="162"/>
      <c r="CR122" s="162"/>
      <c r="CS122" s="162"/>
      <c r="CT122" s="162"/>
      <c r="CU122" s="162"/>
      <c r="CV122" s="162"/>
      <c r="CW122" s="162"/>
      <c r="CX122" s="162"/>
      <c r="CY122" s="162"/>
      <c r="CZ122" s="162"/>
      <c r="DA122" s="162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9" t="str">
        <f>IF(LEN(TRIM('1 Обладатель диплома'!B14))=0," ",'1 Обладатель диплома'!B14)</f>
        <v>37.04.01 Психология</v>
      </c>
      <c r="BX123" s="169"/>
      <c r="BY123" s="169"/>
      <c r="BZ123" s="169"/>
      <c r="CA123" s="169"/>
      <c r="CB123" s="169"/>
      <c r="CC123" s="169"/>
      <c r="CD123" s="169"/>
      <c r="CE123" s="169"/>
      <c r="CF123" s="169"/>
      <c r="CG123" s="169"/>
      <c r="CH123" s="169"/>
      <c r="CI123" s="169"/>
      <c r="CJ123" s="169"/>
      <c r="CK123" s="169"/>
      <c r="CL123" s="169"/>
      <c r="CM123" s="169"/>
      <c r="CN123" s="169"/>
      <c r="CO123" s="169"/>
      <c r="CP123" s="169"/>
      <c r="CQ123" s="169"/>
      <c r="CR123" s="169"/>
      <c r="CS123" s="169"/>
      <c r="CT123" s="169"/>
      <c r="CU123" s="169"/>
      <c r="CV123" s="169"/>
      <c r="CW123" s="169"/>
      <c r="CX123" s="169"/>
      <c r="CY123" s="169"/>
      <c r="CZ123" s="169"/>
      <c r="DA123" s="169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9"/>
      <c r="BX124" s="169"/>
      <c r="BY124" s="169"/>
      <c r="BZ124" s="169"/>
      <c r="CA124" s="169"/>
      <c r="CB124" s="169"/>
      <c r="CC124" s="169"/>
      <c r="CD124" s="169"/>
      <c r="CE124" s="169"/>
      <c r="CF124" s="169"/>
      <c r="CG124" s="169"/>
      <c r="CH124" s="169"/>
      <c r="CI124" s="169"/>
      <c r="CJ124" s="169"/>
      <c r="CK124" s="169"/>
      <c r="CL124" s="169"/>
      <c r="CM124" s="169"/>
      <c r="CN124" s="169"/>
      <c r="CO124" s="169"/>
      <c r="CP124" s="169"/>
      <c r="CQ124" s="169"/>
      <c r="CR124" s="169"/>
      <c r="CS124" s="169"/>
      <c r="CT124" s="169"/>
      <c r="CU124" s="169"/>
      <c r="CV124" s="169"/>
      <c r="CW124" s="169"/>
      <c r="CX124" s="169"/>
      <c r="CY124" s="169"/>
      <c r="CZ124" s="169"/>
      <c r="DA124" s="169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9"/>
      <c r="BX125" s="169"/>
      <c r="BY125" s="169"/>
      <c r="BZ125" s="169"/>
      <c r="CA125" s="169"/>
      <c r="CB125" s="169"/>
      <c r="CC125" s="169"/>
      <c r="CD125" s="169"/>
      <c r="CE125" s="169"/>
      <c r="CF125" s="169"/>
      <c r="CG125" s="169"/>
      <c r="CH125" s="169"/>
      <c r="CI125" s="169"/>
      <c r="CJ125" s="169"/>
      <c r="CK125" s="169"/>
      <c r="CL125" s="169"/>
      <c r="CM125" s="169"/>
      <c r="CN125" s="169"/>
      <c r="CO125" s="169"/>
      <c r="CP125" s="169"/>
      <c r="CQ125" s="169"/>
      <c r="CR125" s="169"/>
      <c r="CS125" s="169"/>
      <c r="CT125" s="169"/>
      <c r="CU125" s="169"/>
      <c r="CV125" s="169"/>
      <c r="CW125" s="169"/>
      <c r="CX125" s="169"/>
      <c r="CY125" s="169"/>
      <c r="CZ125" s="169"/>
      <c r="DA125" s="169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1" t="str">
        <f>IF(LEN(TRIM('5 Доп сведения'!C7))=0," ",'5 Доп сведения'!C7)</f>
        <v xml:space="preserve"> 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42"/>
      <c r="BB126" s="42"/>
      <c r="BC126" s="42"/>
      <c r="BD126" s="42"/>
      <c r="BE126" s="162" t="str">
        <f>Диплом!B7</f>
        <v>XXXX/М24</v>
      </c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  <c r="BR126" s="162"/>
      <c r="BS126" s="162"/>
      <c r="BT126" s="162"/>
      <c r="BU126" s="41"/>
      <c r="BV126" s="41"/>
      <c r="BW126" s="169"/>
      <c r="BX126" s="169"/>
      <c r="BY126" s="169"/>
      <c r="BZ126" s="169"/>
      <c r="CA126" s="169"/>
      <c r="CB126" s="169"/>
      <c r="CC126" s="169"/>
      <c r="CD126" s="169"/>
      <c r="CE126" s="169"/>
      <c r="CF126" s="169"/>
      <c r="CG126" s="169"/>
      <c r="CH126" s="169"/>
      <c r="CI126" s="169"/>
      <c r="CJ126" s="169"/>
      <c r="CK126" s="169"/>
      <c r="CL126" s="169"/>
      <c r="CM126" s="169"/>
      <c r="CN126" s="169"/>
      <c r="CO126" s="169"/>
      <c r="CP126" s="169"/>
      <c r="CQ126" s="169"/>
      <c r="CR126" s="169"/>
      <c r="CS126" s="169"/>
      <c r="CT126" s="169"/>
      <c r="CU126" s="169"/>
      <c r="CV126" s="169"/>
      <c r="CW126" s="169"/>
      <c r="CX126" s="169"/>
      <c r="CY126" s="169"/>
      <c r="CZ126" s="169"/>
      <c r="DA126" s="169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42"/>
      <c r="BB127" s="42"/>
      <c r="BC127" s="42"/>
      <c r="BD127" s="42"/>
      <c r="BE127" s="162"/>
      <c r="BF127" s="162"/>
      <c r="BG127" s="162"/>
      <c r="BH127" s="162"/>
      <c r="BI127" s="162"/>
      <c r="BJ127" s="162"/>
      <c r="BK127" s="162"/>
      <c r="BL127" s="162"/>
      <c r="BM127" s="162"/>
      <c r="BN127" s="162"/>
      <c r="BO127" s="162"/>
      <c r="BP127" s="162"/>
      <c r="BQ127" s="162"/>
      <c r="BR127" s="162"/>
      <c r="BS127" s="162"/>
      <c r="BT127" s="162"/>
      <c r="BU127" s="41"/>
      <c r="BV127" s="41"/>
      <c r="BW127" s="169" t="str">
        <f>IF(LEN(TRIM('1 Обладатель диплома'!B15))=0," ",'1 Обладатель диплома'!B15)</f>
        <v>(протокол № ___ от «XX» июня 2024 г.)</v>
      </c>
      <c r="BX127" s="169"/>
      <c r="BY127" s="169"/>
      <c r="BZ127" s="169"/>
      <c r="CA127" s="169"/>
      <c r="CB127" s="169"/>
      <c r="CC127" s="169"/>
      <c r="CD127" s="169"/>
      <c r="CE127" s="169"/>
      <c r="CF127" s="169"/>
      <c r="CG127" s="169"/>
      <c r="CH127" s="169"/>
      <c r="CI127" s="169"/>
      <c r="CJ127" s="169"/>
      <c r="CK127" s="169"/>
      <c r="CL127" s="169"/>
      <c r="CM127" s="169"/>
      <c r="CN127" s="169"/>
      <c r="CO127" s="169"/>
      <c r="CP127" s="169"/>
      <c r="CQ127" s="169"/>
      <c r="CR127" s="169"/>
      <c r="CS127" s="169"/>
      <c r="CT127" s="169"/>
      <c r="CU127" s="169"/>
      <c r="CV127" s="169"/>
      <c r="CW127" s="169"/>
      <c r="CX127" s="169"/>
      <c r="CY127" s="169"/>
      <c r="CZ127" s="169"/>
      <c r="DA127" s="169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1" t="str">
        <f>IF(LEN(TRIM('5 Доп сведения'!C8))=0," ",'5 Доп сведения'!C8)</f>
        <v xml:space="preserve"> </v>
      </c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42"/>
      <c r="BB128" s="42"/>
      <c r="BC128" s="42"/>
      <c r="BD128" s="42"/>
      <c r="BE128" s="162"/>
      <c r="BF128" s="162"/>
      <c r="BG128" s="162"/>
      <c r="BH128" s="162"/>
      <c r="BI128" s="162"/>
      <c r="BJ128" s="162"/>
      <c r="BK128" s="162"/>
      <c r="BL128" s="162"/>
      <c r="BM128" s="162"/>
      <c r="BN128" s="162"/>
      <c r="BO128" s="162"/>
      <c r="BP128" s="162"/>
      <c r="BQ128" s="162"/>
      <c r="BR128" s="162"/>
      <c r="BS128" s="162"/>
      <c r="BT128" s="162"/>
      <c r="BU128" s="30"/>
      <c r="BV128" s="30"/>
      <c r="BW128" s="169"/>
      <c r="BX128" s="169"/>
      <c r="BY128" s="169"/>
      <c r="BZ128" s="169"/>
      <c r="CA128" s="169"/>
      <c r="CB128" s="169"/>
      <c r="CC128" s="169"/>
      <c r="CD128" s="169"/>
      <c r="CE128" s="169"/>
      <c r="CF128" s="169"/>
      <c r="CG128" s="169"/>
      <c r="CH128" s="169"/>
      <c r="CI128" s="169"/>
      <c r="CJ128" s="169"/>
      <c r="CK128" s="169"/>
      <c r="CL128" s="169"/>
      <c r="CM128" s="169"/>
      <c r="CN128" s="169"/>
      <c r="CO128" s="169"/>
      <c r="CP128" s="169"/>
      <c r="CQ128" s="169"/>
      <c r="CR128" s="169"/>
      <c r="CS128" s="169"/>
      <c r="CT128" s="169"/>
      <c r="CU128" s="169"/>
      <c r="CV128" s="169"/>
      <c r="CW128" s="169"/>
      <c r="CX128" s="169"/>
      <c r="CY128" s="169"/>
      <c r="CZ128" s="169"/>
      <c r="DA128" s="169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42"/>
      <c r="BB129" s="42"/>
      <c r="BC129" s="42"/>
      <c r="BD129" s="42"/>
      <c r="BE129" s="162"/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30"/>
      <c r="BV129" s="30"/>
      <c r="BW129" s="169"/>
      <c r="BX129" s="169"/>
      <c r="BY129" s="169"/>
      <c r="BZ129" s="169"/>
      <c r="CA129" s="169"/>
      <c r="CB129" s="169"/>
      <c r="CC129" s="169"/>
      <c r="CD129" s="169"/>
      <c r="CE129" s="169"/>
      <c r="CF129" s="169"/>
      <c r="CG129" s="169"/>
      <c r="CH129" s="169"/>
      <c r="CI129" s="169"/>
      <c r="CJ129" s="169"/>
      <c r="CK129" s="169"/>
      <c r="CL129" s="169"/>
      <c r="CM129" s="169"/>
      <c r="CN129" s="169"/>
      <c r="CO129" s="169"/>
      <c r="CP129" s="169"/>
      <c r="CQ129" s="169"/>
      <c r="CR129" s="169"/>
      <c r="CS129" s="169"/>
      <c r="CT129" s="169"/>
      <c r="CU129" s="169"/>
      <c r="CV129" s="169"/>
      <c r="CW129" s="169"/>
      <c r="CX129" s="169"/>
      <c r="CY129" s="169"/>
      <c r="CZ129" s="169"/>
      <c r="DA129" s="169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1" t="str">
        <f>IF(LEN(TRIM('5 Доп сведения'!C9))=0," ",'5 Доп сведения'!C9)</f>
        <v xml:space="preserve"> </v>
      </c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44"/>
      <c r="BB130" s="44"/>
      <c r="BC130" s="44"/>
      <c r="BD130" s="44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30"/>
      <c r="BV130" s="30"/>
      <c r="BW130" s="169"/>
      <c r="BX130" s="169"/>
      <c r="BY130" s="169"/>
      <c r="BZ130" s="169"/>
      <c r="CA130" s="169"/>
      <c r="CB130" s="169"/>
      <c r="CC130" s="169"/>
      <c r="CD130" s="169"/>
      <c r="CE130" s="169"/>
      <c r="CF130" s="169"/>
      <c r="CG130" s="169"/>
      <c r="CH130" s="169"/>
      <c r="CI130" s="169"/>
      <c r="CJ130" s="169"/>
      <c r="CK130" s="169"/>
      <c r="CL130" s="169"/>
      <c r="CM130" s="169"/>
      <c r="CN130" s="169"/>
      <c r="CO130" s="169"/>
      <c r="CP130" s="169"/>
      <c r="CQ130" s="169"/>
      <c r="CR130" s="169"/>
      <c r="CS130" s="169"/>
      <c r="CT130" s="169"/>
      <c r="CU130" s="169"/>
      <c r="CV130" s="169"/>
      <c r="CW130" s="169"/>
      <c r="CX130" s="169"/>
      <c r="CY130" s="169"/>
      <c r="CZ130" s="169"/>
      <c r="DA130" s="169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1" t="str">
        <f>IF(LEN(TRIM('5 Доп сведения'!C10))=0," ",'5 Доп сведения'!C10)</f>
        <v xml:space="preserve"> </v>
      </c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1" t="str">
        <f>IF(LEN(TRIM('5 Доп сведения'!C11))=0," ",'5 Доп сведения'!C11)</f>
        <v xml:space="preserve"> </v>
      </c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1" t="str">
        <f>IF(LEN(TRIM('5 Доп сведения'!C12))=0," ",'5 Доп сведения'!C12)</f>
        <v xml:space="preserve"> </v>
      </c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1" t="str">
        <f>IF(LEN(TRIM('5 Доп сведения'!C13))=0," ",'5 Доп сведения'!C13)</f>
        <v xml:space="preserve"> </v>
      </c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1" t="str">
        <f>IF(LEN(TRIM('5 Доп сведения'!C14))=0," ",'5 Доп сведения'!C14)</f>
        <v xml:space="preserve"> </v>
      </c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2" t="str">
        <f>Диплом!B8</f>
        <v>XX июня 2024 года</v>
      </c>
      <c r="BF144" s="162"/>
      <c r="BG144" s="162"/>
      <c r="BH144" s="162"/>
      <c r="BI144" s="162"/>
      <c r="BJ144" s="162"/>
      <c r="BK144" s="162"/>
      <c r="BL144" s="162"/>
      <c r="BM144" s="162"/>
      <c r="BN144" s="162"/>
      <c r="BO144" s="162"/>
      <c r="BP144" s="162"/>
      <c r="BQ144" s="162"/>
      <c r="BR144" s="162"/>
      <c r="BS144" s="162"/>
      <c r="BT144" s="162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3" t="str">
        <f>Диплом!B9</f>
        <v>А.А. Марголис</v>
      </c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30"/>
      <c r="BB145" s="30"/>
      <c r="BC145" s="30"/>
      <c r="BD145" s="30"/>
      <c r="BE145" s="162"/>
      <c r="BF145" s="162"/>
      <c r="BG145" s="162"/>
      <c r="BH145" s="162"/>
      <c r="BI145" s="162"/>
      <c r="BJ145" s="162"/>
      <c r="BK145" s="162"/>
      <c r="BL145" s="162"/>
      <c r="BM145" s="162"/>
      <c r="BN145" s="162"/>
      <c r="BO145" s="162"/>
      <c r="BP145" s="162"/>
      <c r="BQ145" s="162"/>
      <c r="BR145" s="162"/>
      <c r="BS145" s="162"/>
      <c r="BT145" s="162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30"/>
      <c r="BB146" s="30"/>
      <c r="BC146" s="30"/>
      <c r="BD146" s="30"/>
      <c r="BE146" s="162"/>
      <c r="BF146" s="162"/>
      <c r="BG146" s="162"/>
      <c r="BH146" s="162"/>
      <c r="BI146" s="162"/>
      <c r="BJ146" s="162"/>
      <c r="BK146" s="162"/>
      <c r="BL146" s="162"/>
      <c r="BM146" s="162"/>
      <c r="BN146" s="162"/>
      <c r="BO146" s="162"/>
      <c r="BP146" s="162"/>
      <c r="BQ146" s="162"/>
      <c r="BR146" s="162"/>
      <c r="BS146" s="162"/>
      <c r="BT146" s="162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30"/>
      <c r="BB147" s="30"/>
      <c r="BC147" s="30"/>
      <c r="BD147" s="30"/>
      <c r="BE147" s="162"/>
      <c r="BF147" s="162"/>
      <c r="BG147" s="162"/>
      <c r="BH147" s="162"/>
      <c r="BI147" s="162"/>
      <c r="BJ147" s="162"/>
      <c r="BK147" s="162"/>
      <c r="BL147" s="162"/>
      <c r="BM147" s="162"/>
      <c r="BN147" s="162"/>
      <c r="BO147" s="162"/>
      <c r="BP147" s="162"/>
      <c r="BQ147" s="162"/>
      <c r="BR147" s="162"/>
      <c r="BS147" s="162"/>
      <c r="BT147" s="162"/>
      <c r="BU147" s="30"/>
      <c r="BV147" s="167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67"/>
      <c r="CQ147" s="167"/>
      <c r="CR147" s="167"/>
      <c r="CS147" s="167"/>
      <c r="CT147" s="167"/>
      <c r="CU147" s="167"/>
      <c r="CV147" s="167"/>
      <c r="CW147" s="167"/>
      <c r="CX147" s="167"/>
      <c r="CY147" s="167"/>
      <c r="CZ147" s="167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67"/>
      <c r="CZ148" s="167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67"/>
      <c r="CZ150" s="167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67"/>
      <c r="CZ151" s="167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67"/>
      <c r="CQ152" s="167"/>
      <c r="CR152" s="167"/>
      <c r="CS152" s="167"/>
      <c r="CT152" s="167"/>
      <c r="CU152" s="167"/>
      <c r="CV152" s="167"/>
      <c r="CW152" s="167"/>
      <c r="CX152" s="167"/>
      <c r="CY152" s="167"/>
      <c r="CZ152" s="167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54">
    <mergeCell ref="C88:AZ90"/>
    <mergeCell ref="C91:AZ93"/>
    <mergeCell ref="C73:AZ75"/>
    <mergeCell ref="C76:AZ78"/>
    <mergeCell ref="C79:AZ81"/>
    <mergeCell ref="C82:AZ84"/>
    <mergeCell ref="C85:AZ87"/>
    <mergeCell ref="C58:AZ60"/>
    <mergeCell ref="C61:AZ63"/>
    <mergeCell ref="C64:AZ66"/>
    <mergeCell ref="C67:AZ69"/>
    <mergeCell ref="C70:AZ72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16:AZ18"/>
    <mergeCell ref="C25:AZ27"/>
    <mergeCell ref="C28:AZ30"/>
    <mergeCell ref="C31:AZ33"/>
    <mergeCell ref="C34:AZ36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D138:AZ139"/>
    <mergeCell ref="D140:AZ141"/>
    <mergeCell ref="D136:AZ137"/>
    <mergeCell ref="D134:AZ135"/>
    <mergeCell ref="BE126:BT13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tabSelected="1" view="pageBreakPreview" zoomScaleNormal="90" zoomScaleSheetLayoutView="100" workbookViewId="0">
      <selection activeCell="AJ12" sqref="AJ12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Дисицплина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оценка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оценка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оценка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??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оценка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оценка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??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оценка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оценка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>?? з.е.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оценка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??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оценка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??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оценка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оценка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??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оценка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оценка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??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оценка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оценка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??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оценка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оценка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??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оценка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оценка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??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оценка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??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оценка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??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оценка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??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оценка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??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оценка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оценка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??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оценка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??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оценка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??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оценка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??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оценка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??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оценка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оценка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??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оценка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??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оценка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оценка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??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оценка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??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оценка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??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оценка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??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оценка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??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оценка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??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оценка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??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оценка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??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оценка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??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оценка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??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оценка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??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оценка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??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оценка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??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оценка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??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оценка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??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оценка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??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оценка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??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оценка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??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оценка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??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оценка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??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оценка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??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оценка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??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оценка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??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оценка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??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оценка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??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оценка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??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оценка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??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оценка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??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оценка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??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оценка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??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оценка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??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оценка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??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оценка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??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оценка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??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оценка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??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оценка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??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оценка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??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оценка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??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оценка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??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оценка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??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оценка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??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оценка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??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оценка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??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оценка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??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оценка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1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1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1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1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75" t="str">
        <f>'1 Обладатель диплома'!B4</f>
        <v>Имя</v>
      </c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1"/>
      <c r="B29" s="30"/>
      <c r="C29" s="34"/>
      <c r="D29" s="34"/>
      <c r="E29" s="161" t="str">
        <f>IF(LEN(TRIM('4 доп.сведения'!B2))=0," ",'4 доп.сведения'!B2)</f>
        <v xml:space="preserve">Направленность (профиль) образовательной программы: </v>
      </c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34"/>
      <c r="AM29" s="34"/>
      <c r="AN29" s="34"/>
      <c r="AO29" s="177" t="str">
        <f>IF(LEN(TRIM('4 доп.сведения'!C2))=0," ",'4 доп.сведения'!C2)</f>
        <v xml:space="preserve"> </v>
      </c>
      <c r="AP29" s="177"/>
      <c r="AQ29" s="177"/>
      <c r="AR29" s="177"/>
      <c r="AS29" s="177"/>
      <c r="AT29" s="177"/>
      <c r="AU29" s="177"/>
      <c r="AV29" s="177"/>
      <c r="AW29" s="177"/>
      <c r="AX29" s="177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1"/>
      <c r="B30" s="30"/>
      <c r="C30" s="34"/>
      <c r="D30" s="3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34"/>
      <c r="AM30" s="34"/>
      <c r="AN30" s="34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1"/>
      <c r="B31" s="30"/>
      <c r="C31" s="34"/>
      <c r="D31" s="34"/>
      <c r="E31" s="161" t="str">
        <f>IF(LEN(TRIM('4 доп.сведения'!B3))=0," ",'4 доп.сведения'!B3)</f>
        <v>Наименование ОПОП</v>
      </c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34"/>
      <c r="AM31" s="34"/>
      <c r="AN31" s="34"/>
      <c r="AO31" s="177" t="str">
        <f>IF(LEN(TRIM('4 доп.сведения'!C3))=0," ",'4 доп.сведения'!C3)</f>
        <v xml:space="preserve"> </v>
      </c>
      <c r="AP31" s="177"/>
      <c r="AQ31" s="177"/>
      <c r="AR31" s="177"/>
      <c r="AS31" s="177"/>
      <c r="AT31" s="177"/>
      <c r="AU31" s="177"/>
      <c r="AV31" s="177"/>
      <c r="AW31" s="177"/>
      <c r="AX31" s="177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1"/>
      <c r="B32" s="30"/>
      <c r="C32" s="34"/>
      <c r="D32" s="3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34"/>
      <c r="AM32" s="34"/>
      <c r="AN32" s="34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1"/>
      <c r="B33" s="30"/>
      <c r="C33" s="34"/>
      <c r="D33" s="34"/>
      <c r="E33" s="161" t="str">
        <f>IF(LEN(TRIM('4 доп.сведения'!B4))=0," ",'4 доп.сведения'!B4)</f>
        <v>Форма обучения: очная</v>
      </c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34"/>
      <c r="AM33" s="34"/>
      <c r="AN33" s="34"/>
      <c r="AO33" s="177" t="str">
        <f>IF(LEN(TRIM('4 доп.сведения'!C4))=0," ",'4 доп.сведения'!C4)</f>
        <v xml:space="preserve"> </v>
      </c>
      <c r="AP33" s="177"/>
      <c r="AQ33" s="177"/>
      <c r="AR33" s="177"/>
      <c r="AS33" s="177"/>
      <c r="AT33" s="177"/>
      <c r="AU33" s="177"/>
      <c r="AV33" s="177"/>
      <c r="AW33" s="177"/>
      <c r="AX33" s="177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1"/>
      <c r="B34" s="30"/>
      <c r="C34" s="34"/>
      <c r="D34" s="3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34"/>
      <c r="AM34" s="34"/>
      <c r="AN34" s="34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1"/>
      <c r="B35" s="30"/>
      <c r="C35" s="34"/>
      <c r="D35" s="34"/>
      <c r="E35" s="161" t="str">
        <f>IF(LEN(TRIM('4 доп.сведения'!B5))=0," ",'4 доп.сведения'!B5)</f>
        <v xml:space="preserve"> </v>
      </c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34"/>
      <c r="AM35" s="34"/>
      <c r="AN35" s="34"/>
      <c r="AO35" s="177" t="str">
        <f>IF(LEN(TRIM('4 доп.сведения'!C5))=0," ",'4 доп.сведения'!C5)</f>
        <v xml:space="preserve"> </v>
      </c>
      <c r="AP35" s="177"/>
      <c r="AQ35" s="177"/>
      <c r="AR35" s="177"/>
      <c r="AS35" s="177"/>
      <c r="AT35" s="177"/>
      <c r="AU35" s="177"/>
      <c r="AV35" s="177"/>
      <c r="AW35" s="177"/>
      <c r="AX35" s="177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5" t="str">
        <f>'1 Обладатель диплома'!B5</f>
        <v>Отчество</v>
      </c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1"/>
      <c r="B36" s="30"/>
      <c r="C36" s="34"/>
      <c r="D36" s="3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34"/>
      <c r="AM36" s="34"/>
      <c r="AN36" s="34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1"/>
      <c r="B37" s="30"/>
      <c r="C37" s="34"/>
      <c r="D37" s="34"/>
      <c r="E37" s="161" t="str">
        <f>IF(LEN(TRIM('4 доп.сведения'!B6))=0," ",'4 доп.сведения'!B6)</f>
        <v xml:space="preserve"> </v>
      </c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34"/>
      <c r="AM37" s="34"/>
      <c r="AN37" s="34"/>
      <c r="AO37" s="177" t="str">
        <f>IF(LEN(TRIM('4 доп.сведения'!C6))=0," ",'4 доп.сведения'!C6)</f>
        <v xml:space="preserve"> </v>
      </c>
      <c r="AP37" s="177"/>
      <c r="AQ37" s="177"/>
      <c r="AR37" s="177"/>
      <c r="AS37" s="177"/>
      <c r="AT37" s="177"/>
      <c r="AU37" s="177"/>
      <c r="AV37" s="177"/>
      <c r="AW37" s="177"/>
      <c r="AX37" s="177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1"/>
      <c r="B38" s="30"/>
      <c r="C38" s="34"/>
      <c r="D38" s="34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34"/>
      <c r="AM38" s="34"/>
      <c r="AN38" s="34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1"/>
      <c r="B39" s="30"/>
      <c r="C39" s="34"/>
      <c r="D39" s="34"/>
      <c r="E39" s="161" t="str">
        <f>IF(LEN(TRIM('4 доп.сведения'!B7))=0," ",'4 доп.сведения'!B7)</f>
        <v xml:space="preserve"> </v>
      </c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34"/>
      <c r="AM39" s="34"/>
      <c r="AN39" s="34"/>
      <c r="AO39" s="177" t="str">
        <f>IF(LEN(TRIM('4 доп.сведения'!C7))=0," ",'4 доп.сведения'!C7)</f>
        <v xml:space="preserve"> </v>
      </c>
      <c r="AP39" s="177"/>
      <c r="AQ39" s="177"/>
      <c r="AR39" s="177"/>
      <c r="AS39" s="177"/>
      <c r="AT39" s="177"/>
      <c r="AU39" s="177"/>
      <c r="AV39" s="177"/>
      <c r="AW39" s="177"/>
      <c r="AX39" s="177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1"/>
      <c r="B40" s="30"/>
      <c r="C40" s="34"/>
      <c r="D40" s="34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34"/>
      <c r="AM40" s="34"/>
      <c r="AN40" s="34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1"/>
      <c r="B41" s="30"/>
      <c r="C41" s="34"/>
      <c r="D41" s="34"/>
      <c r="E41" s="161" t="str">
        <f>IF(LEN(TRIM('4 доп.сведения'!B8))=0," ",'4 доп.сведения'!B8)</f>
        <v xml:space="preserve"> </v>
      </c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34"/>
      <c r="AM41" s="34"/>
      <c r="AN41" s="34"/>
      <c r="AO41" s="177" t="str">
        <f>IF(LEN(TRIM('4 доп.сведения'!C8))=0," ",'4 доп.сведения'!C8)</f>
        <v xml:space="preserve"> </v>
      </c>
      <c r="AP41" s="177"/>
      <c r="AQ41" s="177"/>
      <c r="AR41" s="177"/>
      <c r="AS41" s="177"/>
      <c r="AT41" s="177"/>
      <c r="AU41" s="177"/>
      <c r="AV41" s="177"/>
      <c r="AW41" s="177"/>
      <c r="AX41" s="177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1"/>
      <c r="B42" s="30"/>
      <c r="C42" s="34"/>
      <c r="D42" s="34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34"/>
      <c r="AM42" s="34"/>
      <c r="AN42" s="34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1"/>
      <c r="B43" s="30"/>
      <c r="C43" s="34"/>
      <c r="D43" s="34"/>
      <c r="E43" s="161" t="str">
        <f>IF(LEN(TRIM('4 доп.сведения'!B9))=0," ",'4 доп.сведения'!B9)</f>
        <v xml:space="preserve"> </v>
      </c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34"/>
      <c r="AM43" s="34"/>
      <c r="AN43" s="34"/>
      <c r="AO43" s="177" t="str">
        <f>IF(LEN(TRIM('4 доп.сведения'!C9))=0," ",'4 доп.сведения'!C9)</f>
        <v xml:space="preserve"> </v>
      </c>
      <c r="AP43" s="177"/>
      <c r="AQ43" s="177"/>
      <c r="AR43" s="177"/>
      <c r="AS43" s="177"/>
      <c r="AT43" s="177"/>
      <c r="AU43" s="177"/>
      <c r="AV43" s="177"/>
      <c r="AW43" s="177"/>
      <c r="AX43" s="177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1"/>
      <c r="B44" s="30"/>
      <c r="C44" s="34"/>
      <c r="D44" s="34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34"/>
      <c r="AM44" s="34"/>
      <c r="AN44" s="34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1"/>
      <c r="B45" s="30"/>
      <c r="C45" s="34"/>
      <c r="D45" s="34"/>
      <c r="E45" s="161" t="str">
        <f>IF(LEN(TRIM('4 доп.сведения'!B10))=0," ",'4 доп.сведения'!B10)</f>
        <v xml:space="preserve"> 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34"/>
      <c r="AM45" s="34"/>
      <c r="AN45" s="34"/>
      <c r="AO45" s="177" t="str">
        <f>IF(LEN(TRIM('4 доп.сведения'!C10))=0," ",'4 доп.сведения'!C10)</f>
        <v xml:space="preserve"> </v>
      </c>
      <c r="AP45" s="177"/>
      <c r="AQ45" s="177"/>
      <c r="AR45" s="177"/>
      <c r="AS45" s="177"/>
      <c r="AT45" s="177"/>
      <c r="AU45" s="177"/>
      <c r="AV45" s="177"/>
      <c r="AW45" s="177"/>
      <c r="AX45" s="177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1"/>
      <c r="B46" s="30"/>
      <c r="C46" s="34"/>
      <c r="D46" s="34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34"/>
      <c r="AM46" s="34"/>
      <c r="AN46" s="34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1"/>
      <c r="B47" s="30"/>
      <c r="C47" s="34"/>
      <c r="D47" s="34"/>
      <c r="E47" s="161" t="str">
        <f>IF(LEN(TRIM('4 доп.сведения'!B11))=0," ",'4 доп.сведения'!B11)</f>
        <v xml:space="preserve"> 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34"/>
      <c r="AM47" s="34"/>
      <c r="AN47" s="34"/>
      <c r="AO47" s="177" t="str">
        <f>IF(LEN(TRIM('4 доп.сведения'!C11))=0," ",'4 доп.сведения'!C11)</f>
        <v xml:space="preserve"> </v>
      </c>
      <c r="AP47" s="177"/>
      <c r="AQ47" s="177"/>
      <c r="AR47" s="177"/>
      <c r="AS47" s="177"/>
      <c r="AT47" s="177"/>
      <c r="AU47" s="177"/>
      <c r="AV47" s="177"/>
      <c r="AW47" s="177"/>
      <c r="AX47" s="177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1"/>
      <c r="B48" s="30"/>
      <c r="C48" s="34"/>
      <c r="D48" s="34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34"/>
      <c r="AM48" s="34"/>
      <c r="AN48" s="34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1"/>
      <c r="B49" s="30"/>
      <c r="C49" s="34"/>
      <c r="D49" s="34"/>
      <c r="E49" s="161" t="str">
        <f>IF(LEN(TRIM('4 доп.сведения'!B12))=0," ",'4 доп.сведения'!B12)</f>
        <v xml:space="preserve"> </v>
      </c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34"/>
      <c r="AM49" s="34"/>
      <c r="AN49" s="34"/>
      <c r="AO49" s="177" t="str">
        <f>IF(LEN(TRIM('4 доп.сведения'!C12))=0," ",'4 доп.сведения'!C12)</f>
        <v xml:space="preserve"> </v>
      </c>
      <c r="AP49" s="177"/>
      <c r="AQ49" s="177"/>
      <c r="AR49" s="177"/>
      <c r="AS49" s="177"/>
      <c r="AT49" s="177"/>
      <c r="AU49" s="177"/>
      <c r="AV49" s="177"/>
      <c r="AW49" s="177"/>
      <c r="AX49" s="177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1"/>
      <c r="B50" s="30"/>
      <c r="C50" s="34"/>
      <c r="D50" s="34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34"/>
      <c r="AM50" s="34"/>
      <c r="AN50" s="34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1"/>
      <c r="B51" s="30"/>
      <c r="C51" s="34"/>
      <c r="D51" s="34"/>
      <c r="E51" s="161" t="str">
        <f>IF(LEN(TRIM('4 доп.сведения'!B13))=0," ",'4 доп.сведения'!B13)</f>
        <v xml:space="preserve"> </v>
      </c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34"/>
      <c r="AM51" s="34"/>
      <c r="AN51" s="34"/>
      <c r="AO51" s="177" t="str">
        <f>IF(LEN(TRIM('4 доп.сведения'!C13))=0," ",'4 доп.сведения'!C13)</f>
        <v xml:space="preserve"> </v>
      </c>
      <c r="AP51" s="177"/>
      <c r="AQ51" s="177"/>
      <c r="AR51" s="177"/>
      <c r="AS51" s="177"/>
      <c r="AT51" s="177"/>
      <c r="AU51" s="177"/>
      <c r="AV51" s="177"/>
      <c r="AW51" s="177"/>
      <c r="AX51" s="177"/>
      <c r="AY51" s="30"/>
      <c r="AZ51" s="30"/>
      <c r="BA51" s="30"/>
      <c r="BB51" s="30"/>
      <c r="BC51" s="37"/>
      <c r="BD51" s="37"/>
      <c r="BE51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1"/>
      <c r="B52" s="30"/>
      <c r="C52" s="34"/>
      <c r="D52" s="34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34"/>
      <c r="AM52" s="34"/>
      <c r="AN52" s="34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30"/>
      <c r="AZ52" s="30"/>
      <c r="BA52" s="30"/>
      <c r="BB52" s="30"/>
      <c r="BC52" s="37"/>
      <c r="BD52" s="37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1" t="str">
        <f>IF(LEN(TRIM('4 доп.сведения'!B14))=0," ",'4 доп.сведения'!B14)</f>
        <v xml:space="preserve"> 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34"/>
      <c r="AM53" s="34"/>
      <c r="AN53" s="34"/>
      <c r="AO53" s="177" t="str">
        <f>IF(LEN(TRIM('4 доп.сведения'!C14))=0," ",'4 доп.сведения'!C14)</f>
        <v xml:space="preserve"> </v>
      </c>
      <c r="AP53" s="177"/>
      <c r="AQ53" s="177"/>
      <c r="AR53" s="177"/>
      <c r="AS53" s="177"/>
      <c r="AT53" s="177"/>
      <c r="AU53" s="177"/>
      <c r="AV53" s="177"/>
      <c r="AW53" s="177"/>
      <c r="AX53" s="177"/>
      <c r="AY53" s="30"/>
      <c r="AZ53" s="30"/>
      <c r="BA53" s="30"/>
      <c r="BB53" s="30"/>
      <c r="BC53" s="37"/>
      <c r="BD53" s="37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34"/>
      <c r="AM54" s="34"/>
      <c r="AN54" s="34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30"/>
      <c r="AZ54" s="30"/>
      <c r="BA54" s="30"/>
      <c r="BB54" s="30"/>
      <c r="BC54" s="37"/>
      <c r="BD54" s="37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1" t="str">
        <f>IF(LEN(TRIM('4 доп.сведения'!B15))=0," ",'4 доп.сведения'!B15)</f>
        <v xml:space="preserve"> </v>
      </c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34"/>
      <c r="AM55" s="34"/>
      <c r="AN55" s="34"/>
      <c r="AO55" s="177" t="str">
        <f>IF(LEN(TRIM('4 доп.сведения'!C15))=0," ",'4 доп.сведения'!C15)</f>
        <v xml:space="preserve"> </v>
      </c>
      <c r="AP55" s="177"/>
      <c r="AQ55" s="177"/>
      <c r="AR55" s="177"/>
      <c r="AS55" s="177"/>
      <c r="AT55" s="177"/>
      <c r="AU55" s="177"/>
      <c r="AV55" s="177"/>
      <c r="AW55" s="177"/>
      <c r="AX55" s="177"/>
      <c r="AY55" s="30"/>
      <c r="AZ55" s="30"/>
      <c r="BA55" s="30"/>
      <c r="BB55" s="30"/>
      <c r="BC55" s="37"/>
      <c r="BD55" s="37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34"/>
      <c r="AM56" s="34"/>
      <c r="AN56" s="34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30"/>
      <c r="AZ56" s="30"/>
      <c r="BA56" s="30"/>
      <c r="BB56" s="30"/>
      <c r="BC56" s="37"/>
      <c r="BD56" s="37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180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1" t="str">
        <f>IF(LEN(TRIM('4 доп.сведения'!B16))=0," ",'4 доп.сведения'!B16)</f>
        <v xml:space="preserve"> </v>
      </c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34"/>
      <c r="AM57" s="34"/>
      <c r="AN57" s="34"/>
      <c r="AO57" s="177" t="str">
        <f>IF(LEN(TRIM('4 доп.сведения'!C16))=0," ",'4 доп.сведения'!C16)</f>
        <v xml:space="preserve"> </v>
      </c>
      <c r="AP57" s="177"/>
      <c r="AQ57" s="177"/>
      <c r="AR57" s="177"/>
      <c r="AS57" s="177"/>
      <c r="AT57" s="177"/>
      <c r="AU57" s="177"/>
      <c r="AV57" s="177"/>
      <c r="AW57" s="177"/>
      <c r="AX57" s="177"/>
      <c r="AY57" s="30"/>
      <c r="AZ57" s="30"/>
      <c r="BA57" s="30"/>
      <c r="BB57" s="30"/>
      <c r="BC57" s="37"/>
      <c r="BD57" s="37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34"/>
      <c r="AM58" s="34"/>
      <c r="AN58" s="34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30"/>
      <c r="AZ58" s="30"/>
      <c r="BA58" s="30"/>
      <c r="BB58" s="30"/>
      <c r="BC58" s="37"/>
      <c r="BD58" s="37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1" t="str">
        <f>IF(LEN(TRIM('4 доп.сведения'!B17))=0," ",'4 доп.сведения'!B17)</f>
        <v xml:space="preserve"> </v>
      </c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34"/>
      <c r="AM59" s="34"/>
      <c r="AN59" s="34"/>
      <c r="AO59" s="177" t="str">
        <f>IF(LEN(TRIM('4 доп.сведения'!C17))=0," ",'4 доп.сведения'!C17)</f>
        <v xml:space="preserve"> </v>
      </c>
      <c r="AP59" s="177"/>
      <c r="AQ59" s="177"/>
      <c r="AR59" s="177"/>
      <c r="AS59" s="177"/>
      <c r="AT59" s="177"/>
      <c r="AU59" s="177"/>
      <c r="AV59" s="177"/>
      <c r="AW59" s="177"/>
      <c r="AX59" s="177"/>
      <c r="AY59" s="30"/>
      <c r="AZ59" s="30"/>
      <c r="BA59" s="30"/>
      <c r="BB59" s="30"/>
      <c r="BC59" s="37"/>
      <c r="BD59" s="37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34"/>
      <c r="AM60" s="34"/>
      <c r="AN60" s="34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30"/>
      <c r="AZ60" s="30"/>
      <c r="BA60" s="30"/>
      <c r="BB60" s="30"/>
      <c r="BC60" s="37"/>
      <c r="BD60" s="37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1" t="str">
        <f>IF(LEN(TRIM('4 доп.сведения'!B18))=0," ",'4 доп.сведения'!B18)</f>
        <v xml:space="preserve"> </v>
      </c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34"/>
      <c r="AM61" s="34"/>
      <c r="AN61" s="34"/>
      <c r="AO61" s="177" t="str">
        <f>IF(LEN(TRIM('4 доп.сведения'!C18))=0," ",'4 доп.сведения'!C18)</f>
        <v xml:space="preserve"> </v>
      </c>
      <c r="AP61" s="177"/>
      <c r="AQ61" s="177"/>
      <c r="AR61" s="177"/>
      <c r="AS61" s="177"/>
      <c r="AT61" s="177"/>
      <c r="AU61" s="177"/>
      <c r="AV61" s="177"/>
      <c r="AW61" s="177"/>
      <c r="AX61" s="177"/>
      <c r="AY61" s="30"/>
      <c r="AZ61" s="30"/>
      <c r="BA61" s="30"/>
      <c r="BB61" s="30"/>
      <c r="BC61" s="37"/>
      <c r="BD61" s="37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34"/>
      <c r="AM62" s="34"/>
      <c r="AN62" s="34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30"/>
      <c r="AZ62" s="30"/>
      <c r="BA62" s="30"/>
      <c r="BB62" s="30"/>
      <c r="BC62" s="37"/>
      <c r="BD62" s="37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1" t="str">
        <f>IF(LEN(TRIM('4 доп.сведения'!B19))=0," ",'4 доп.сведения'!B19)</f>
        <v xml:space="preserve"> 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34"/>
      <c r="AM63" s="34"/>
      <c r="AN63" s="34"/>
      <c r="AO63" s="177" t="str">
        <f>IF(LEN(TRIM('4 доп.сведения'!C19))=0," ",'4 доп.сведения'!C19)</f>
        <v xml:space="preserve"> </v>
      </c>
      <c r="AP63" s="177"/>
      <c r="AQ63" s="177"/>
      <c r="AR63" s="177"/>
      <c r="AS63" s="177"/>
      <c r="AT63" s="177"/>
      <c r="AU63" s="177"/>
      <c r="AV63" s="177"/>
      <c r="AW63" s="177"/>
      <c r="AX63" s="177"/>
      <c r="AY63" s="30"/>
      <c r="AZ63" s="30"/>
      <c r="BA63" s="30"/>
      <c r="BB63" s="30"/>
      <c r="BC63" s="37"/>
      <c r="BD63" s="37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34"/>
      <c r="AM64" s="34"/>
      <c r="AN64" s="34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30"/>
      <c r="AZ64" s="30"/>
      <c r="BA64" s="30"/>
      <c r="BB64" s="30"/>
      <c r="BC64" s="37"/>
      <c r="BD64" s="37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1" t="str">
        <f>IF(LEN(TRIM('4 доп.сведения'!B20))=0," ",'4 доп.сведения'!B20)</f>
        <v xml:space="preserve"> </v>
      </c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34"/>
      <c r="AM65" s="34"/>
      <c r="AN65" s="34"/>
      <c r="AO65" s="177" t="str">
        <f>IF(LEN(TRIM('4 доп.сведения'!C20))=0," ",'4 доп.сведения'!C20)</f>
        <v xml:space="preserve"> </v>
      </c>
      <c r="AP65" s="177"/>
      <c r="AQ65" s="177"/>
      <c r="AR65" s="177"/>
      <c r="AS65" s="177"/>
      <c r="AT65" s="177"/>
      <c r="AU65" s="177"/>
      <c r="AV65" s="177"/>
      <c r="AW65" s="177"/>
      <c r="AX65" s="177"/>
      <c r="AY65" s="30"/>
      <c r="AZ65" s="30"/>
      <c r="BA65" s="30"/>
      <c r="BB65" s="30"/>
      <c r="BC65" s="37"/>
      <c r="BD65" s="37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34"/>
      <c r="AM66" s="34"/>
      <c r="AN66" s="34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30"/>
      <c r="AZ66" s="30"/>
      <c r="BA66" s="30"/>
      <c r="BB66" s="30"/>
      <c r="BC66" s="37"/>
      <c r="BD66" s="37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7"/>
      <c r="BV66" s="37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1" t="str">
        <f>IF(LEN(TRIM('4 доп.сведения'!B21))=0," ",'4 доп.сведения'!B21)</f>
        <v xml:space="preserve"> </v>
      </c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34"/>
      <c r="AM67" s="34"/>
      <c r="AN67" s="34"/>
      <c r="AO67" s="177" t="str">
        <f>IF(LEN(TRIM('4 доп.сведения'!C21))=0," ",'4 доп.сведения'!C21)</f>
        <v xml:space="preserve"> </v>
      </c>
      <c r="AP67" s="177"/>
      <c r="AQ67" s="177"/>
      <c r="AR67" s="177"/>
      <c r="AS67" s="177"/>
      <c r="AT67" s="177"/>
      <c r="AU67" s="177"/>
      <c r="AV67" s="177"/>
      <c r="AW67" s="177"/>
      <c r="AX67" s="177"/>
      <c r="AY67" s="30"/>
      <c r="AZ67" s="30"/>
      <c r="BA67" s="30"/>
      <c r="BB67" s="30"/>
      <c r="BC67" s="37"/>
      <c r="BD67" s="37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7"/>
      <c r="BV67" s="37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34"/>
      <c r="AM68" s="34"/>
      <c r="AN68" s="34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30"/>
      <c r="AZ68" s="30"/>
      <c r="BA68" s="30"/>
      <c r="BB68" s="30"/>
      <c r="BC68" s="37"/>
      <c r="BD68" s="37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37"/>
      <c r="BV68" s="37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1" t="str">
        <f>IF(LEN(TRIM('4 доп.сведения'!B22))=0," ",'4 доп.сведения'!B22)</f>
        <v xml:space="preserve"> </v>
      </c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34"/>
      <c r="AM69" s="34"/>
      <c r="AN69" s="34"/>
      <c r="AO69" s="177" t="str">
        <f>IF(LEN(TRIM('4 доп.сведения'!C22))=0," ",'4 доп.сведения'!C22)</f>
        <v xml:space="preserve"> </v>
      </c>
      <c r="AP69" s="177"/>
      <c r="AQ69" s="177"/>
      <c r="AR69" s="177"/>
      <c r="AS69" s="177"/>
      <c r="AT69" s="177"/>
      <c r="AU69" s="177"/>
      <c r="AV69" s="177"/>
      <c r="AW69" s="177"/>
      <c r="AX69" s="177"/>
      <c r="AY69" s="30"/>
      <c r="AZ69" s="30"/>
      <c r="BA69" s="30"/>
      <c r="BB69" s="30"/>
      <c r="BC69" s="37"/>
      <c r="BD69" s="37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37"/>
      <c r="BV69" s="37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34"/>
      <c r="AM70" s="34"/>
      <c r="AN70" s="34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30"/>
      <c r="AZ70" s="30"/>
      <c r="BA70" s="30"/>
      <c r="BB70" s="30"/>
      <c r="BC70" s="37"/>
      <c r="BD70" s="37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37"/>
      <c r="BV70" s="37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1" t="str">
        <f>IF(LEN(TRIM('4 доп.сведения'!B23))=0," ",'4 доп.сведения'!B23)</f>
        <v xml:space="preserve"> </v>
      </c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34"/>
      <c r="AM71" s="34"/>
      <c r="AN71" s="34"/>
      <c r="AO71" s="177" t="str">
        <f>IF(LEN(TRIM('4 доп.сведения'!C23))=0," ",'4 доп.сведения'!C23)</f>
        <v xml:space="preserve"> </v>
      </c>
      <c r="AP71" s="177"/>
      <c r="AQ71" s="177"/>
      <c r="AR71" s="177"/>
      <c r="AS71" s="177"/>
      <c r="AT71" s="177"/>
      <c r="AU71" s="177"/>
      <c r="AV71" s="177"/>
      <c r="AW71" s="177"/>
      <c r="AX71" s="177"/>
      <c r="AY71" s="30"/>
      <c r="AZ71" s="30"/>
      <c r="BA71" s="30"/>
      <c r="BB71" s="30"/>
      <c r="BC71" s="37"/>
      <c r="BD71" s="37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37"/>
      <c r="BV71" s="37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34"/>
      <c r="AM72" s="34"/>
      <c r="AN72" s="34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30"/>
      <c r="AZ72" s="30"/>
      <c r="BA72" s="30"/>
      <c r="BB72" s="30"/>
      <c r="BC72" s="37"/>
      <c r="BD72" s="37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37"/>
      <c r="BV72" s="37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1" t="str">
        <f>IF(LEN(TRIM('4 доп.сведения'!B24))=0," ",'4 доп.сведения'!B24)</f>
        <v xml:space="preserve"> </v>
      </c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34"/>
      <c r="AM73" s="34"/>
      <c r="AN73" s="34"/>
      <c r="AO73" s="177" t="str">
        <f>IF(LEN(TRIM('4 доп.сведения'!C24))=0," ",'4 доп.сведения'!C24)</f>
        <v xml:space="preserve"> </v>
      </c>
      <c r="AP73" s="177"/>
      <c r="AQ73" s="177"/>
      <c r="AR73" s="177"/>
      <c r="AS73" s="177"/>
      <c r="AT73" s="177"/>
      <c r="AU73" s="177"/>
      <c r="AV73" s="177"/>
      <c r="AW73" s="177"/>
      <c r="AX73" s="177"/>
      <c r="AY73" s="30"/>
      <c r="AZ73" s="30"/>
      <c r="BA73" s="30"/>
      <c r="BB73" s="30"/>
      <c r="BC73" s="37"/>
      <c r="BD73" s="37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38"/>
      <c r="BV73" s="38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34"/>
      <c r="AM74" s="34"/>
      <c r="AN74" s="34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30"/>
      <c r="AZ74" s="30"/>
      <c r="BA74" s="30"/>
      <c r="BB74" s="30"/>
      <c r="BC74" s="37"/>
      <c r="BD74" s="37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1" t="str">
        <f>IF(LEN(TRIM('4 доп.сведения'!B25))=0," ",'4 доп.сведения'!B25)</f>
        <v xml:space="preserve"> </v>
      </c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34"/>
      <c r="AM75" s="34"/>
      <c r="AN75" s="34"/>
      <c r="AO75" s="177" t="str">
        <f>IF(LEN(TRIM('4 доп.сведения'!C25))=0," ",'4 доп.сведения'!C25)</f>
        <v xml:space="preserve"> </v>
      </c>
      <c r="AP75" s="177"/>
      <c r="AQ75" s="177"/>
      <c r="AR75" s="177"/>
      <c r="AS75" s="177"/>
      <c r="AT75" s="177"/>
      <c r="AU75" s="177"/>
      <c r="AV75" s="177"/>
      <c r="AW75" s="177"/>
      <c r="AX75" s="177"/>
      <c r="AY75" s="30"/>
      <c r="AZ75" s="30"/>
      <c r="BA75" s="30"/>
      <c r="BB75" s="30"/>
      <c r="BC75" s="37"/>
      <c r="BD75" s="37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34"/>
      <c r="AM76" s="34"/>
      <c r="AN76" s="34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30"/>
      <c r="AZ76" s="30"/>
      <c r="BA76" s="30"/>
      <c r="BB76" s="30"/>
      <c r="BC76" s="37"/>
      <c r="BD76" s="37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1" t="str">
        <f>IF(LEN(TRIM('4 доп.сведения'!B26))=0," ",'4 доп.сведения'!B26)</f>
        <v xml:space="preserve"> </v>
      </c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34"/>
      <c r="AM77" s="34"/>
      <c r="AN77" s="34"/>
      <c r="AO77" s="177" t="str">
        <f>IF(LEN(TRIM('4 доп.сведения'!C26))=0," ",'4 доп.сведения'!C26)</f>
        <v xml:space="preserve"> </v>
      </c>
      <c r="AP77" s="177"/>
      <c r="AQ77" s="177"/>
      <c r="AR77" s="177"/>
      <c r="AS77" s="177"/>
      <c r="AT77" s="177"/>
      <c r="AU77" s="177"/>
      <c r="AV77" s="177"/>
      <c r="AW77" s="177"/>
      <c r="AX77" s="177"/>
      <c r="AY77" s="30"/>
      <c r="AZ77" s="30"/>
      <c r="BA77" s="30"/>
      <c r="BB77" s="30"/>
      <c r="BC77" s="37"/>
      <c r="BD77" s="37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34"/>
      <c r="AM78" s="34"/>
      <c r="AN78" s="34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30"/>
      <c r="AZ78" s="30"/>
      <c r="BA78" s="30"/>
      <c r="BB78" s="30"/>
      <c r="BC78" s="37"/>
      <c r="BD78" s="37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1" t="str">
        <f>IF(LEN(TRIM('4 доп.сведения'!B27))=0," ",'4 доп.сведения'!B27)</f>
        <v xml:space="preserve"> </v>
      </c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34"/>
      <c r="AM79" s="34"/>
      <c r="AN79" s="34"/>
      <c r="AO79" s="177" t="str">
        <f>IF(LEN(TRIM('4 доп.сведения'!C27))=0," ",'4 доп.сведения'!C27)</f>
        <v xml:space="preserve"> </v>
      </c>
      <c r="AP79" s="177"/>
      <c r="AQ79" s="177"/>
      <c r="AR79" s="177"/>
      <c r="AS79" s="177"/>
      <c r="AT79" s="177"/>
      <c r="AU79" s="177"/>
      <c r="AV79" s="177"/>
      <c r="AW79" s="177"/>
      <c r="AX79" s="177"/>
      <c r="AY79" s="30"/>
      <c r="AZ79" s="30"/>
      <c r="BA79" s="30"/>
      <c r="BB79" s="30"/>
      <c r="BC79" s="40"/>
      <c r="BD79" s="40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34"/>
      <c r="AM80" s="34"/>
      <c r="AN80" s="34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30"/>
      <c r="AZ80" s="30"/>
      <c r="BA80" s="30"/>
      <c r="BB80" s="30"/>
      <c r="BC80" s="40"/>
      <c r="BD80" s="40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1" t="str">
        <f>IF(LEN(TRIM('4 доп.сведения'!B28))=0," ",'4 доп.сведения'!B28)</f>
        <v xml:space="preserve"> </v>
      </c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34"/>
      <c r="AM81" s="34"/>
      <c r="AN81" s="34"/>
      <c r="AO81" s="177" t="str">
        <f>IF(LEN(TRIM('4 доп.сведения'!C28))=0," ",'4 доп.сведения'!C28)</f>
        <v xml:space="preserve"> </v>
      </c>
      <c r="AP81" s="177"/>
      <c r="AQ81" s="177"/>
      <c r="AR81" s="177"/>
      <c r="AS81" s="177"/>
      <c r="AT81" s="177"/>
      <c r="AU81" s="177"/>
      <c r="AV81" s="177"/>
      <c r="AW81" s="177"/>
      <c r="AX81" s="177"/>
      <c r="AY81" s="30"/>
      <c r="AZ81" s="30"/>
      <c r="BA81" s="30"/>
      <c r="BB81" s="30"/>
      <c r="BC81" s="40"/>
      <c r="BD81" s="40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34"/>
      <c r="AM82" s="34"/>
      <c r="AN82" s="34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30"/>
      <c r="AZ82" s="30"/>
      <c r="BA82" s="30"/>
      <c r="BB82" s="30"/>
      <c r="BC82" s="40"/>
      <c r="BD82" s="40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1" t="str">
        <f>IF(LEN(TRIM('4 доп.сведения'!B29))=0," ",'4 доп.сведения'!B29)</f>
        <v xml:space="preserve"> </v>
      </c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34"/>
      <c r="AM83" s="34"/>
      <c r="AN83" s="34"/>
      <c r="AO83" s="177" t="str">
        <f>IF(LEN(TRIM('4 доп.сведения'!C29))=0," ",'4 доп.сведения'!C29)</f>
        <v xml:space="preserve"> </v>
      </c>
      <c r="AP83" s="177"/>
      <c r="AQ83" s="177"/>
      <c r="AR83" s="177"/>
      <c r="AS83" s="177"/>
      <c r="AT83" s="177"/>
      <c r="AU83" s="177"/>
      <c r="AV83" s="177"/>
      <c r="AW83" s="177"/>
      <c r="AX83" s="177"/>
      <c r="AY83" s="30"/>
      <c r="AZ83" s="30"/>
      <c r="BA83" s="30"/>
      <c r="BB83" s="30"/>
      <c r="BC83" s="30"/>
      <c r="BD83" s="30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34"/>
      <c r="AM84" s="34"/>
      <c r="AN84" s="34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30"/>
      <c r="AZ84" s="30"/>
      <c r="BA84" s="30"/>
      <c r="BB84" s="30"/>
      <c r="BC84" s="30"/>
      <c r="BD84" s="30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1" t="str">
        <f>IF(LEN(TRIM('4 доп.сведения'!B30))=0," ",'4 доп.сведения'!B30)</f>
        <v xml:space="preserve"> </v>
      </c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34"/>
      <c r="AM85" s="34"/>
      <c r="AN85" s="34"/>
      <c r="AO85" s="177" t="str">
        <f>IF(LEN(TRIM('4 доп.сведения'!C30))=0," ",'4 доп.сведения'!C30)</f>
        <v xml:space="preserve"> </v>
      </c>
      <c r="AP85" s="177"/>
      <c r="AQ85" s="177"/>
      <c r="AR85" s="177"/>
      <c r="AS85" s="177"/>
      <c r="AT85" s="177"/>
      <c r="AU85" s="177"/>
      <c r="AV85" s="177"/>
      <c r="AW85" s="177"/>
      <c r="AX85" s="177"/>
      <c r="AY85" s="30"/>
      <c r="AZ85" s="30"/>
      <c r="BA85" s="30"/>
      <c r="BB85" s="30"/>
      <c r="BC85" s="30"/>
      <c r="BD85" s="30"/>
      <c r="BE85" s="162" t="str">
        <f>Диплом!B3</f>
        <v>г Москва</v>
      </c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34"/>
      <c r="AM86" s="34"/>
      <c r="AN86" s="34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30"/>
      <c r="AZ86" s="30"/>
      <c r="BA86" s="30"/>
      <c r="BB86" s="30"/>
      <c r="BC86" s="30"/>
      <c r="BD86" s="30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1" t="str">
        <f>IF(LEN(TRIM('4 доп.сведения'!B31))=0," ",'4 доп.сведения'!B31)</f>
        <v xml:space="preserve"> </v>
      </c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34"/>
      <c r="AM87" s="34"/>
      <c r="AN87" s="34"/>
      <c r="AO87" s="177" t="str">
        <f>IF(LEN(TRIM('4 доп.сведения'!C31))=0," ",'4 доп.сведения'!C31)</f>
        <v xml:space="preserve"> </v>
      </c>
      <c r="AP87" s="177"/>
      <c r="AQ87" s="177"/>
      <c r="AR87" s="177"/>
      <c r="AS87" s="177"/>
      <c r="AT87" s="177"/>
      <c r="AU87" s="177"/>
      <c r="AV87" s="177"/>
      <c r="AW87" s="177"/>
      <c r="AX87" s="177"/>
      <c r="AY87" s="30"/>
      <c r="AZ87" s="30"/>
      <c r="BA87" s="30"/>
      <c r="BB87" s="30"/>
      <c r="BC87" s="30"/>
      <c r="BD87" s="30"/>
      <c r="BE87" s="162"/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34"/>
      <c r="AM88" s="34"/>
      <c r="AN88" s="34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30"/>
      <c r="AZ88" s="30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1" t="str">
        <f>IF(LEN(TRIM('4 доп.сведения'!B32))=0," ",'4 доп.сведения'!B32)</f>
        <v xml:space="preserve"> </v>
      </c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34"/>
      <c r="AM89" s="34"/>
      <c r="AN89" s="34"/>
      <c r="AO89" s="177" t="str">
        <f>IF(LEN(TRIM('4 доп.сведения'!C32))=0," ",'4 доп.сведения'!C32)</f>
        <v xml:space="preserve"> </v>
      </c>
      <c r="AP89" s="177"/>
      <c r="AQ89" s="177"/>
      <c r="AR89" s="177"/>
      <c r="AS89" s="177"/>
      <c r="AT89" s="177"/>
      <c r="AU89" s="177"/>
      <c r="AV89" s="177"/>
      <c r="AW89" s="177"/>
      <c r="AX89" s="177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34"/>
      <c r="AM90" s="34"/>
      <c r="AN90" s="34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  <c r="CI90" s="162"/>
      <c r="CJ90" s="162"/>
      <c r="CK90" s="162"/>
      <c r="CL90" s="162"/>
      <c r="CM90" s="162"/>
      <c r="CN90" s="162"/>
      <c r="CO90" s="162"/>
      <c r="CP90" s="162"/>
      <c r="CQ90" s="162"/>
      <c r="CR90" s="162"/>
      <c r="CS90" s="162"/>
      <c r="CT90" s="162"/>
      <c r="CU90" s="162"/>
      <c r="CV90" s="162"/>
      <c r="CW90" s="162"/>
      <c r="CX90" s="162"/>
      <c r="CY90" s="162"/>
      <c r="CZ90" s="162"/>
      <c r="DA90" s="162"/>
      <c r="DB90" s="162"/>
      <c r="DC90" s="162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1" t="str">
        <f>IF(LEN(TRIM('4 доп.сведения'!B33))=0," ",'4 доп.сведения'!B33)</f>
        <v xml:space="preserve"> </v>
      </c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34"/>
      <c r="AM91" s="34"/>
      <c r="AN91" s="34"/>
      <c r="AO91" s="177" t="str">
        <f>IF(LEN(TRIM('4 доп.сведения'!C33))=0," ",'4 доп.сведения'!C33)</f>
        <v xml:space="preserve"> </v>
      </c>
      <c r="AP91" s="177"/>
      <c r="AQ91" s="177"/>
      <c r="AR91" s="177"/>
      <c r="AS91" s="177"/>
      <c r="AT91" s="177"/>
      <c r="AU91" s="177"/>
      <c r="AV91" s="177"/>
      <c r="AW91" s="177"/>
      <c r="AX91" s="177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  <c r="CI91" s="162"/>
      <c r="CJ91" s="162"/>
      <c r="CK91" s="162"/>
      <c r="CL91" s="162"/>
      <c r="CM91" s="162"/>
      <c r="CN91" s="162"/>
      <c r="CO91" s="162"/>
      <c r="CP91" s="162"/>
      <c r="CQ91" s="162"/>
      <c r="CR91" s="162"/>
      <c r="CS91" s="162"/>
      <c r="CT91" s="162"/>
      <c r="CU91" s="162"/>
      <c r="CV91" s="162"/>
      <c r="CW91" s="162"/>
      <c r="CX91" s="162"/>
      <c r="CY91" s="162"/>
      <c r="CZ91" s="162"/>
      <c r="DA91" s="162"/>
      <c r="DB91" s="162"/>
      <c r="DC91" s="162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34"/>
      <c r="AM92" s="34"/>
      <c r="AN92" s="34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2"/>
      <c r="BX92" s="162"/>
      <c r="BY92" s="162"/>
      <c r="BZ92" s="162"/>
      <c r="CA92" s="162"/>
      <c r="CB92" s="162"/>
      <c r="CC92" s="162"/>
      <c r="CD92" s="162"/>
      <c r="CE92" s="162"/>
      <c r="CF92" s="162"/>
      <c r="CG92" s="162"/>
      <c r="CH92" s="162"/>
      <c r="CI92" s="162"/>
      <c r="CJ92" s="162"/>
      <c r="CK92" s="162"/>
      <c r="CL92" s="162"/>
      <c r="CM92" s="162"/>
      <c r="CN92" s="162"/>
      <c r="CO92" s="162"/>
      <c r="CP92" s="162"/>
      <c r="CQ92" s="162"/>
      <c r="CR92" s="162"/>
      <c r="CS92" s="162"/>
      <c r="CT92" s="162"/>
      <c r="CU92" s="162"/>
      <c r="CV92" s="162"/>
      <c r="CW92" s="162"/>
      <c r="CX92" s="162"/>
      <c r="CY92" s="162"/>
      <c r="CZ92" s="162"/>
      <c r="DA92" s="162"/>
      <c r="DB92" s="162"/>
      <c r="DC92" s="162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1" t="str">
        <f>IF(LEN(TRIM('4 доп.сведения'!B34))=0," ",'4 доп.сведения'!B34)</f>
        <v xml:space="preserve"> </v>
      </c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34"/>
      <c r="AM93" s="34"/>
      <c r="AN93" s="34"/>
      <c r="AO93" s="177" t="str">
        <f>IF(LEN(TRIM('4 доп.сведения'!C34))=0," ",'4 доп.сведения'!C34)</f>
        <v xml:space="preserve"> </v>
      </c>
      <c r="AP93" s="177"/>
      <c r="AQ93" s="177"/>
      <c r="AR93" s="177"/>
      <c r="AS93" s="177"/>
      <c r="AT93" s="177"/>
      <c r="AU93" s="177"/>
      <c r="AV93" s="177"/>
      <c r="AW93" s="177"/>
      <c r="AX93" s="177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2"/>
      <c r="BX93" s="162"/>
      <c r="BY93" s="162"/>
      <c r="BZ93" s="162"/>
      <c r="CA93" s="162"/>
      <c r="CB93" s="162"/>
      <c r="CC93" s="162"/>
      <c r="CD93" s="162"/>
      <c r="CE93" s="162"/>
      <c r="CF93" s="162"/>
      <c r="CG93" s="162"/>
      <c r="CH93" s="162"/>
      <c r="CI93" s="162"/>
      <c r="CJ93" s="162"/>
      <c r="CK93" s="162"/>
      <c r="CL93" s="162"/>
      <c r="CM93" s="162"/>
      <c r="CN93" s="162"/>
      <c r="CO93" s="162"/>
      <c r="CP93" s="162"/>
      <c r="CQ93" s="162"/>
      <c r="CR93" s="162"/>
      <c r="CS93" s="162"/>
      <c r="CT93" s="162"/>
      <c r="CU93" s="162"/>
      <c r="CV93" s="162"/>
      <c r="CW93" s="162"/>
      <c r="CX93" s="162"/>
      <c r="CY93" s="162"/>
      <c r="CZ93" s="162"/>
      <c r="DA93" s="162"/>
      <c r="DB93" s="162"/>
      <c r="DC93" s="162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34"/>
      <c r="AM94" s="34"/>
      <c r="AN94" s="34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2"/>
      <c r="BX94" s="162"/>
      <c r="BY94" s="162"/>
      <c r="BZ94" s="162"/>
      <c r="CA94" s="162"/>
      <c r="CB94" s="162"/>
      <c r="CC94" s="162"/>
      <c r="CD94" s="162"/>
      <c r="CE94" s="162"/>
      <c r="CF94" s="162"/>
      <c r="CG94" s="162"/>
      <c r="CH94" s="162"/>
      <c r="CI94" s="162"/>
      <c r="CJ94" s="162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2"/>
      <c r="CV94" s="162"/>
      <c r="CW94" s="162"/>
      <c r="CX94" s="162"/>
      <c r="CY94" s="162"/>
      <c r="CZ94" s="162"/>
      <c r="DA94" s="162"/>
      <c r="DB94" s="162"/>
      <c r="DC94" s="162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1" t="str">
        <f>IF(LEN(TRIM('4 доп.сведения'!B35))=0," ",'4 доп.сведения'!B35)</f>
        <v xml:space="preserve"> </v>
      </c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34"/>
      <c r="AM95" s="34"/>
      <c r="AN95" s="34"/>
      <c r="AO95" s="177" t="str">
        <f>IF(LEN(TRIM('4 доп.сведения'!C35))=0," ",'4 доп.сведения'!C35)</f>
        <v xml:space="preserve"> </v>
      </c>
      <c r="AP95" s="177"/>
      <c r="AQ95" s="177"/>
      <c r="AR95" s="177"/>
      <c r="AS95" s="177"/>
      <c r="AT95" s="177"/>
      <c r="AU95" s="177"/>
      <c r="AV95" s="177"/>
      <c r="AW95" s="177"/>
      <c r="AX95" s="177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2"/>
      <c r="BX95" s="162"/>
      <c r="BY95" s="162"/>
      <c r="BZ95" s="162"/>
      <c r="CA95" s="162"/>
      <c r="CB95" s="162"/>
      <c r="CC95" s="162"/>
      <c r="CD95" s="162"/>
      <c r="CE95" s="162"/>
      <c r="CF95" s="162"/>
      <c r="CG95" s="162"/>
      <c r="CH95" s="162"/>
      <c r="CI95" s="162"/>
      <c r="CJ95" s="162"/>
      <c r="CK95" s="162"/>
      <c r="CL95" s="162"/>
      <c r="CM95" s="162"/>
      <c r="CN95" s="162"/>
      <c r="CO95" s="162"/>
      <c r="CP95" s="162"/>
      <c r="CQ95" s="162"/>
      <c r="CR95" s="162"/>
      <c r="CS95" s="162"/>
      <c r="CT95" s="162"/>
      <c r="CU95" s="162"/>
      <c r="CV95" s="162"/>
      <c r="CW95" s="162"/>
      <c r="CX95" s="162"/>
      <c r="CY95" s="162"/>
      <c r="CZ95" s="162"/>
      <c r="DA95" s="162"/>
      <c r="DB95" s="162"/>
      <c r="DC95" s="162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34"/>
      <c r="AM96" s="34"/>
      <c r="AN96" s="34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1" t="str">
        <f>IF(LEN(TRIM('4 доп.сведения'!B36))=0," ",'4 доп.сведения'!B36)</f>
        <v xml:space="preserve"> </v>
      </c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34"/>
      <c r="AM97" s="34"/>
      <c r="AN97" s="34"/>
      <c r="AO97" s="177" t="str">
        <f>IF(LEN(TRIM('4 доп.сведения'!C36))=0," ",'4 доп.сведения'!C36)</f>
        <v xml:space="preserve"> </v>
      </c>
      <c r="AP97" s="177"/>
      <c r="AQ97" s="177"/>
      <c r="AR97" s="177"/>
      <c r="AS97" s="177"/>
      <c r="AT97" s="177"/>
      <c r="AU97" s="177"/>
      <c r="AV97" s="177"/>
      <c r="AW97" s="177"/>
      <c r="AX97" s="177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34"/>
      <c r="AM98" s="34"/>
      <c r="AN98" s="34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176"/>
      <c r="CU98" s="176"/>
      <c r="CV98" s="176"/>
      <c r="CW98" s="176"/>
      <c r="CX98" s="176"/>
      <c r="CY98" s="176"/>
      <c r="CZ98" s="176"/>
      <c r="DA98" s="176"/>
      <c r="DB98" s="176"/>
      <c r="DC98" s="176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1" t="str">
        <f>IF(LEN(TRIM('4 доп.сведения'!B37))=0," ",'4 доп.сведения'!B37)</f>
        <v xml:space="preserve"> </v>
      </c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34"/>
      <c r="AM99" s="34"/>
      <c r="AN99" s="34"/>
      <c r="AO99" s="177" t="str">
        <f>IF(LEN(TRIM('4 доп.сведения'!C37))=0," ",'4 доп.сведения'!C37)</f>
        <v xml:space="preserve"> </v>
      </c>
      <c r="AP99" s="177"/>
      <c r="AQ99" s="177"/>
      <c r="AR99" s="177"/>
      <c r="AS99" s="177"/>
      <c r="AT99" s="177"/>
      <c r="AU99" s="177"/>
      <c r="AV99" s="177"/>
      <c r="AW99" s="177"/>
      <c r="AX99" s="177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6"/>
      <c r="CT99" s="176"/>
      <c r="CU99" s="176"/>
      <c r="CV99" s="176"/>
      <c r="CW99" s="176"/>
      <c r="CX99" s="176"/>
      <c r="CY99" s="176"/>
      <c r="CZ99" s="176"/>
      <c r="DA99" s="176"/>
      <c r="DB99" s="176"/>
      <c r="DC99" s="176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34"/>
      <c r="AM100" s="34"/>
      <c r="AN100" s="34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6"/>
      <c r="CT100" s="176"/>
      <c r="CU100" s="176"/>
      <c r="CV100" s="176"/>
      <c r="CW100" s="176"/>
      <c r="CX100" s="176"/>
      <c r="CY100" s="176"/>
      <c r="CZ100" s="176"/>
      <c r="DA100" s="176"/>
      <c r="DB100" s="176"/>
      <c r="DC100" s="176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1" t="str">
        <f>IF(LEN(TRIM('4 доп.сведения'!B38))=0," ",'4 доп.сведения'!B38)</f>
        <v xml:space="preserve"> </v>
      </c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34"/>
      <c r="AM101" s="34"/>
      <c r="AN101" s="34"/>
      <c r="AO101" s="177" t="str">
        <f>IF(LEN(TRIM('4 доп.сведения'!C38))=0," ",'4 доп.сведения'!C38)</f>
        <v xml:space="preserve"> </v>
      </c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34"/>
      <c r="AM102" s="34"/>
      <c r="AN102" s="34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1" t="str">
        <f>IF(LEN(TRIM('4 доп.сведения'!B39))=0," ",'4 доп.сведения'!B39)</f>
        <v xml:space="preserve"> </v>
      </c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34"/>
      <c r="AM103" s="34"/>
      <c r="AN103" s="34"/>
      <c r="AO103" s="177" t="str">
        <f>IF(LEN(TRIM('4 доп.сведения'!C39))=0," ",'4 доп.сведения'!C39)</f>
        <v xml:space="preserve"> </v>
      </c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176"/>
      <c r="CU103" s="176"/>
      <c r="CV103" s="176"/>
      <c r="CW103" s="176"/>
      <c r="CX103" s="176"/>
      <c r="CY103" s="176"/>
      <c r="CZ103" s="176"/>
      <c r="DA103" s="176"/>
      <c r="DB103" s="176"/>
      <c r="DC103" s="176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34"/>
      <c r="AM104" s="34"/>
      <c r="AN104" s="34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6"/>
      <c r="CT104" s="176"/>
      <c r="CU104" s="176"/>
      <c r="CV104" s="176"/>
      <c r="CW104" s="176"/>
      <c r="CX104" s="176"/>
      <c r="CY104" s="176"/>
      <c r="CZ104" s="176"/>
      <c r="DA104" s="176"/>
      <c r="DB104" s="176"/>
      <c r="DC104" s="176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1" t="str">
        <f>IF(LEN(TRIM('4 доп.сведения'!B40))=0," ",'4 доп.сведения'!B40)</f>
        <v xml:space="preserve"> 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34"/>
      <c r="AM105" s="34"/>
      <c r="AN105" s="34"/>
      <c r="AO105" s="177" t="str">
        <f>IF(LEN(TRIM('4 доп.сведения'!C40))=0," ",'4 доп.сведения'!C40)</f>
        <v xml:space="preserve"> </v>
      </c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176"/>
      <c r="CU105" s="176"/>
      <c r="CV105" s="176"/>
      <c r="CW105" s="176"/>
      <c r="CX105" s="176"/>
      <c r="CY105" s="176"/>
      <c r="CZ105" s="176"/>
      <c r="DA105" s="176"/>
      <c r="DB105" s="176"/>
      <c r="DC105" s="176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34"/>
      <c r="AM106" s="34"/>
      <c r="AN106" s="34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6" t="str">
        <f>IF(LEN(TRIM('1 Обладатель диплома'!B11))=0," ",'1 Обладатель диплома'!B11)</f>
        <v>Магистр</v>
      </c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6"/>
      <c r="CT106" s="176"/>
      <c r="CU106" s="176"/>
      <c r="CV106" s="176"/>
      <c r="CW106" s="176"/>
      <c r="CX106" s="176"/>
      <c r="CY106" s="176"/>
      <c r="CZ106" s="176"/>
      <c r="DA106" s="176"/>
      <c r="DB106" s="176"/>
      <c r="DC106" s="176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1" t="str">
        <f>IF(LEN(TRIM('4 доп.сведения'!B41))=0," ",'4 доп.сведения'!B41)</f>
        <v xml:space="preserve"> </v>
      </c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34"/>
      <c r="AM107" s="34"/>
      <c r="AN107" s="34"/>
      <c r="AO107" s="177" t="str">
        <f>IF(LEN(TRIM('4 доп.сведения'!C41))=0," ",'4 доп.сведения'!C41)</f>
        <v xml:space="preserve"> </v>
      </c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6"/>
      <c r="CT107" s="176"/>
      <c r="CU107" s="176"/>
      <c r="CV107" s="176"/>
      <c r="CW107" s="176"/>
      <c r="CX107" s="176"/>
      <c r="CY107" s="176"/>
      <c r="CZ107" s="176"/>
      <c r="DA107" s="176"/>
      <c r="DB107" s="176"/>
      <c r="DC107" s="176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34"/>
      <c r="AM108" s="34"/>
      <c r="AN108" s="34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76"/>
      <c r="DC108" s="176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76"/>
      <c r="DC109" s="176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6" t="str">
        <f>IF(LEN(TRIM('1 Обладатель диплома'!B14))=0," ",'1 Обладатель диплома'!B14)</f>
        <v>37.04.01 Психология</v>
      </c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76"/>
      <c r="DC111" s="176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76"/>
      <c r="DC112" s="176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76"/>
      <c r="DC113" s="176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76"/>
      <c r="DC114" s="176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76"/>
      <c r="DC115" s="176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1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76"/>
      <c r="DC117" s="176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42"/>
      <c r="BA118" s="30"/>
      <c r="BB118" s="30"/>
      <c r="BC118" s="30"/>
      <c r="BD118" s="30"/>
      <c r="BE118" s="167" t="str">
        <f>IF(Диплом!B4 ="","",Диплом!B4)</f>
        <v/>
      </c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41"/>
      <c r="BV118" s="41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76"/>
      <c r="DC118" s="176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1" t="str">
        <f>IF(LEN(TRIM('5 Доп сведения'!C4))=0," ",'5 Доп сведения'!C4)</f>
        <v>Форма обучения: очная</v>
      </c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42"/>
      <c r="BA119" s="30"/>
      <c r="BB119" s="30"/>
      <c r="BC119" s="30"/>
      <c r="BD119" s="30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41"/>
      <c r="BV119" s="41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76"/>
      <c r="DC119" s="176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42"/>
      <c r="BA120" s="30"/>
      <c r="BB120" s="30"/>
      <c r="BC120" s="30"/>
      <c r="BD120" s="30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41"/>
      <c r="BV120" s="41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76"/>
      <c r="DC120" s="176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1" t="str">
        <f>IF(LEN(TRIM('5 Доп сведения'!C5))=0," ",'5 Доп сведения'!C5)</f>
        <v xml:space="preserve"> </v>
      </c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42"/>
      <c r="BA121" s="30"/>
      <c r="BB121" s="30"/>
      <c r="BC121" s="30"/>
      <c r="BD121" s="30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41"/>
      <c r="BV121" s="41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76"/>
      <c r="DC122" s="176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1" t="str">
        <f>IF(LEN(TRIM('5 Доп сведения'!C6))=0," ",'5 Доп сведения'!C6)</f>
        <v xml:space="preserve"> </v>
      </c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76"/>
      <c r="DC123" s="176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1" t="str">
        <f>IF(LEN(TRIM('5 Доп сведения'!C7))=0," ",'5 Доп сведения'!C7)</f>
        <v xml:space="preserve"> </v>
      </c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1" t="str">
        <f>IF(LEN(TRIM('5 Доп сведения'!C8))=0," ",'5 Доп сведения'!C8)</f>
        <v xml:space="preserve"> </v>
      </c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1" t="str">
        <f>IF(LEN(TRIM('5 Доп сведения'!C9))=0," ",'5 Доп сведения'!C9)</f>
        <v xml:space="preserve"> </v>
      </c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42"/>
      <c r="BA129" s="30"/>
      <c r="BB129" s="30"/>
      <c r="BC129" s="30"/>
      <c r="BD129" s="30"/>
      <c r="BE129" s="162" t="str">
        <f>Диплом!B5 &amp;" " &amp;Диплом!B6</f>
        <v>магистра с отличием</v>
      </c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42"/>
      <c r="BA130" s="30"/>
      <c r="BB130" s="30"/>
      <c r="BC130" s="30"/>
      <c r="BD130" s="30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1" t="str">
        <f>IF(LEN(TRIM('5 Доп сведения'!C10))=0," ",'5 Доп сведения'!C10)</f>
        <v xml:space="preserve"> </v>
      </c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44"/>
      <c r="BA131" s="30"/>
      <c r="BB131" s="30"/>
      <c r="BC131" s="30"/>
      <c r="BD131" s="30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  <c r="BR131" s="162"/>
      <c r="BS131" s="162"/>
      <c r="BT131" s="162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1" t="str">
        <f>IF(LEN(TRIM('5 Доп сведения'!C11))=0," ",'5 Доп сведения'!C11)</f>
        <v xml:space="preserve"> </v>
      </c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1" t="str">
        <f>IF(LEN(TRIM('5 Доп сведения'!C12))=0," ",'5 Доп сведения'!C12)</f>
        <v xml:space="preserve"> </v>
      </c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30"/>
      <c r="BA136" s="30"/>
      <c r="BB136" s="30"/>
      <c r="BC136" s="40"/>
      <c r="BD136" s="40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  <c r="BR136" s="162"/>
      <c r="BS136" s="162"/>
      <c r="BT136" s="162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1" t="str">
        <f>IF(LEN(TRIM('5 Доп сведения'!C13))=0," ",'5 Доп сведения'!C13)</f>
        <v xml:space="preserve"> </v>
      </c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30"/>
      <c r="BA137" s="30"/>
      <c r="BB137" s="30"/>
      <c r="BC137" s="40"/>
      <c r="BD137" s="40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30"/>
      <c r="BA138" s="30"/>
      <c r="BB138" s="30"/>
      <c r="BC138" s="40"/>
      <c r="BD138" s="40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  <c r="BR139" s="162"/>
      <c r="BS139" s="162"/>
      <c r="BT139" s="162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  <c r="BR140" s="162"/>
      <c r="BS140" s="162"/>
      <c r="BT140" s="162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2"/>
      <c r="BF141" s="162"/>
      <c r="BG141" s="162"/>
      <c r="BH141" s="162"/>
      <c r="BI141" s="162"/>
      <c r="BJ141" s="162"/>
      <c r="BK141" s="162"/>
      <c r="BL141" s="162"/>
      <c r="BM141" s="162"/>
      <c r="BN141" s="162"/>
      <c r="BO141" s="162"/>
      <c r="BP141" s="162"/>
      <c r="BQ141" s="162"/>
      <c r="BR141" s="162"/>
      <c r="BS141" s="162"/>
      <c r="BT141" s="162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2"/>
      <c r="BF142" s="162"/>
      <c r="BG142" s="162"/>
      <c r="BH142" s="162"/>
      <c r="BI142" s="162"/>
      <c r="BJ142" s="162"/>
      <c r="BK142" s="162"/>
      <c r="BL142" s="162"/>
      <c r="BM142" s="162"/>
      <c r="BN142" s="162"/>
      <c r="BO142" s="162"/>
      <c r="BP142" s="162"/>
      <c r="BQ142" s="162"/>
      <c r="BR142" s="162"/>
      <c r="BS142" s="162"/>
      <c r="BT142" s="162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2"/>
      <c r="BF143" s="162"/>
      <c r="BG143" s="162"/>
      <c r="BH143" s="162"/>
      <c r="BI143" s="162"/>
      <c r="BJ143" s="162"/>
      <c r="BK143" s="162"/>
      <c r="BL143" s="162"/>
      <c r="BM143" s="162"/>
      <c r="BN143" s="162"/>
      <c r="BO143" s="162"/>
      <c r="BP143" s="162"/>
      <c r="BQ143" s="162"/>
      <c r="BR143" s="162"/>
      <c r="BS143" s="162"/>
      <c r="BT143" s="162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79" t="str">
        <f>Диплом!B9</f>
        <v>А.А. Марголис</v>
      </c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  <c r="AW151" s="179"/>
      <c r="AX151" s="179"/>
      <c r="AY151" s="179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2" t="str">
        <f>Диплом!B7</f>
        <v>XXXX/М24</v>
      </c>
      <c r="BF152" s="162"/>
      <c r="BG152" s="162"/>
      <c r="BH152" s="162"/>
      <c r="BI152" s="162"/>
      <c r="BJ152" s="162"/>
      <c r="BK152" s="162"/>
      <c r="BL152" s="162"/>
      <c r="BM152" s="162"/>
      <c r="BN152" s="162"/>
      <c r="BO152" s="162"/>
      <c r="BP152" s="162"/>
      <c r="BQ152" s="162"/>
      <c r="BR152" s="162"/>
      <c r="BS152" s="162"/>
      <c r="BT152" s="162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2"/>
      <c r="BF153" s="162"/>
      <c r="BG153" s="162"/>
      <c r="BH153" s="162"/>
      <c r="BI153" s="162"/>
      <c r="BJ153" s="162"/>
      <c r="BK153" s="162"/>
      <c r="BL153" s="162"/>
      <c r="BM153" s="162"/>
      <c r="BN153" s="162"/>
      <c r="BO153" s="162"/>
      <c r="BP153" s="162"/>
      <c r="BQ153" s="162"/>
      <c r="BR153" s="162"/>
      <c r="BS153" s="162"/>
      <c r="BT153" s="162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2"/>
      <c r="BF154" s="162"/>
      <c r="BG154" s="162"/>
      <c r="BH154" s="162"/>
      <c r="BI154" s="162"/>
      <c r="BJ154" s="162"/>
      <c r="BK154" s="162"/>
      <c r="BL154" s="162"/>
      <c r="BM154" s="162"/>
      <c r="BN154" s="162"/>
      <c r="BO154" s="162"/>
      <c r="BP154" s="162"/>
      <c r="BQ154" s="162"/>
      <c r="BR154" s="162"/>
      <c r="BS154" s="162"/>
      <c r="BT154" s="162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2"/>
      <c r="BF155" s="162"/>
      <c r="BG155" s="162"/>
      <c r="BH155" s="162"/>
      <c r="BI155" s="162"/>
      <c r="BJ155" s="162"/>
      <c r="BK155" s="162"/>
      <c r="BL155" s="162"/>
      <c r="BM155" s="162"/>
      <c r="BN155" s="162"/>
      <c r="BO155" s="162"/>
      <c r="BP155" s="162"/>
      <c r="BQ155" s="162"/>
      <c r="BR155" s="162"/>
      <c r="BS155" s="162"/>
      <c r="BT155" s="162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7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67"/>
      <c r="CQ156" s="167"/>
      <c r="CR156" s="167"/>
      <c r="CS156" s="167"/>
      <c r="CT156" s="167"/>
      <c r="CU156" s="167"/>
      <c r="CV156" s="167"/>
      <c r="CW156" s="167"/>
      <c r="CX156" s="167"/>
      <c r="CY156" s="167"/>
      <c r="CZ156" s="167"/>
      <c r="DA156" s="167"/>
      <c r="DB156" s="167"/>
      <c r="DC156" s="167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67"/>
      <c r="CQ157" s="167"/>
      <c r="CR157" s="167"/>
      <c r="CS157" s="167"/>
      <c r="CT157" s="167"/>
      <c r="CU157" s="167"/>
      <c r="CV157" s="167"/>
      <c r="CW157" s="167"/>
      <c r="CX157" s="167"/>
      <c r="CY157" s="167"/>
      <c r="CZ157" s="167"/>
      <c r="DA157" s="167"/>
      <c r="DB157" s="167"/>
      <c r="DC157" s="167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67"/>
      <c r="CQ158" s="167"/>
      <c r="CR158" s="167"/>
      <c r="CS158" s="167"/>
      <c r="CT158" s="167"/>
      <c r="CU158" s="167"/>
      <c r="CV158" s="167"/>
      <c r="CW158" s="167"/>
      <c r="CX158" s="167"/>
      <c r="CY158" s="167"/>
      <c r="CZ158" s="167"/>
      <c r="DA158" s="167"/>
      <c r="DB158" s="167"/>
      <c r="DC158" s="167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67"/>
      <c r="CQ159" s="167"/>
      <c r="CR159" s="167"/>
      <c r="CS159" s="167"/>
      <c r="CT159" s="167"/>
      <c r="CU159" s="167"/>
      <c r="CV159" s="167"/>
      <c r="CW159" s="167"/>
      <c r="CX159" s="167"/>
      <c r="CY159" s="167"/>
      <c r="CZ159" s="167"/>
      <c r="DA159" s="167"/>
      <c r="DB159" s="167"/>
      <c r="DC159" s="167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8" t="str">
        <f>Диплом!B8</f>
        <v>XX июня 2024 года</v>
      </c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Дисицплина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оценка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оценка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оценка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??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оценка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оценка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??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оценка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оценка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>?? з.е.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оценка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??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оценка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??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оценка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оценка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??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оценка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оценка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??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оценка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оценка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??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оценка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оценка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??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оценка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оценка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??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оценка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??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оценка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??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оценка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??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оценка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??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оценка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оценка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??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оценка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??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оценка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??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оценка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??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оценка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??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оценка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оценка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??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оценка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??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оценка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оценка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??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оценка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??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оценка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??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оценка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??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оценка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??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оценка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??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оценка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??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оценка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??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оценка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??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оценка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??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оценка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??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оценка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??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оценка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??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оценка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??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оценка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??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оценка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??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оценка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??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оценка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??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оценка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??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оценка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??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оценка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??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оценка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??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оценка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??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оценка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??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оценка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??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оценка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??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оценка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??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оценка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??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оценка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??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оценка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??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оценка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??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оценка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??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оценка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??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оценка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??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оценка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??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оценка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??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оценка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??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оценка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??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оценка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??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оценка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??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оценка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??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оценка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??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оценка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??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оценка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??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оценка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39</vt:lpstr>
      <vt:lpstr>Оборотная 39</vt:lpstr>
      <vt:lpstr>Лицевая (2)</vt:lpstr>
      <vt:lpstr>Оборотная (2)</vt:lpstr>
      <vt:lpstr>'Лицевая 39'!Область_печати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2024-11-12T10:02:15Z</dcterms:modified>
</cp:coreProperties>
</file>