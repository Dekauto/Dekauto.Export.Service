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-120" yWindow="-120" windowWidth="19440" windowHeight="15600" tabRatio="755" activeTab="2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24" sheetId="15" r:id="rId6"/>
    <sheet name="Оборотная24" sheetId="10" r:id="rId7"/>
    <sheet name="Лицевая (2)" sheetId="14" state="hidden" r:id="rId8"/>
    <sheet name="Оборотная (2)" sheetId="13" state="hidden" r:id="rId9"/>
  </sheets>
  <definedNames>
    <definedName name="_xlnm.Print_Area" localSheetId="5">Лицевая24!$A$1:$DC$156</definedName>
  </definedNames>
  <calcPr calcId="162913" refMode="R1C1"/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AV47" i="10" l="1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C40" i="15" l="1"/>
  <c r="C37" i="15"/>
  <c r="C34" i="15"/>
  <c r="C31" i="15"/>
  <c r="C28" i="15"/>
  <c r="C25" i="15"/>
  <c r="C22" i="15"/>
  <c r="C19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80" i="10" l="1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80" i="10"/>
  <c r="AR79" i="10"/>
  <c r="AR78" i="10"/>
  <c r="AR77" i="10"/>
  <c r="AR76" i="10"/>
  <c r="AR75" i="10"/>
  <c r="AR74" i="10"/>
  <c r="AR73" i="10"/>
  <c r="AR72" i="10"/>
  <c r="AR71" i="10"/>
  <c r="AR70" i="10"/>
  <c r="AR69" i="10"/>
  <c r="AR68" i="10"/>
  <c r="AR67" i="10"/>
  <c r="AR66" i="10"/>
  <c r="AR65" i="10"/>
  <c r="AR64" i="10"/>
  <c r="AR63" i="10"/>
  <c r="AR62" i="10"/>
  <c r="AR61" i="10"/>
  <c r="AR60" i="10"/>
  <c r="AR59" i="10"/>
  <c r="AR58" i="10"/>
  <c r="AR57" i="10"/>
  <c r="AR56" i="10"/>
  <c r="AR55" i="10"/>
  <c r="AR54" i="10"/>
  <c r="AR53" i="10"/>
  <c r="AR52" i="10"/>
  <c r="AR51" i="10"/>
  <c r="AR50" i="10"/>
  <c r="AR49" i="10"/>
  <c r="AR48" i="10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<sst xmlns="http://schemas.openxmlformats.org/spreadsheetml/2006/main" count="346" uniqueCount="173">
  <si>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</si>
  <si>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</si>
  <si>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</si>
  <si>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</si>
  <si>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</si>
  <si>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</si>
  <si>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</si>
  <si>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</si>
  <si>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</si>
  <si>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</si>
  <si>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</si>
  <si>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</si>
  <si>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</si>
  <si>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</si>
  <si>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</si>
  <si>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</si>
  <si>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</si>
  <si>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</si>
  <si>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</si>
  <si>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</si>
  <si>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</si>
  <si>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</si>
  <si>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</si>
  <si>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</si>
  <si>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</si>
  <si>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</si>
  <si>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</si>
  <si>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</si>
  <si>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</si>
  <si>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</si>
  <si>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</si>
  <si>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</si>
  <si>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</si>
  <si>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</si>
  <si>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</si>
  <si>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</si>
  <si>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</si>
  <si>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</si>
  <si>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</si>
  <si>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</si>
  <si>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</si>
  <si>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</si>
  <si>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</si>
  <si>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</si>
  <si>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</si>
  <si>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</si>
  <si>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</si>
  <si>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</si>
  <si>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</si>
  <si>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</si>
  <si>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</si>
  <si>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</si>
  <si>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</si>
  <si>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</si>
  <si>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</si>
  <si>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</si>
  <si>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</si>
  <si>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</si>
  <si>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</si>
  <si>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</si>
  <si>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</si>
  <si>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</si>
  <si>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</si>
  <si>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</si>
  <si>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</si>
  <si>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</si>
  <si>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</si>
  <si>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</si>
  <si>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</si>
  <si>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</si>
  <si>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</si>
  <si>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</si>
  <si>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</si>
  <si>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</si>
  <si>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</si>
  <si>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</si>
  <si>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</si>
  <si>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</si>
  <si>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</si>
  <si>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</si>
  <si>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</si>
  <si>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</si>
  <si>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</si>
  <si>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</si>
  <si>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</si>
  <si>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</si>
  <si>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</si>
  <si>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</si>
  <si>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</si>
  <si>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</si>
  <si>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</si>
  <si>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</si>
  <si>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</si>
  <si>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</si>
  <si>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</si>
  <si>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</si>
  <si>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</si>
  <si>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</si>
  <si>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</si>
  <si>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</si>
  <si>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</si>
  <si>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</si>
  <si>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</si>
  <si>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</si>
  <si>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</si>
  <si>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</si>
  <si>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</si>
  <si>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</si>
  <si>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</si>
  <si>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</si>
  <si>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</si>
  <si>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</si>
  <si>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</si>
  <si>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</si>
  <si>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</si>
  <si>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</si>
  <si>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</si>
  <si>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</si>
  <si>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</si>
  <si>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</si>
  <si>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</si>
  <si>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</si>
  <si>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</si>
  <si>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</si>
  <si>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</si>
  <si>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</si>
  <si>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</si>
  <si>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</si>
  <si>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</si>
  <si>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</si>
  <si>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</si>
  <si>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</si>
  <si>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</si>
  <si>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</si>
  <si>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</si>
  <si>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</si>
  <si>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</si>
  <si>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</si>
  <si>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</si>
  <si>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</si>
  <si>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</si>
  <si>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</si>
  <si>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</si>
  <si>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</si>
  <si>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</si>
  <si>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</si>
  <si>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</si>
  <si>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</si>
  <si>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</si>
  <si>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</si>
  <si>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</si>
  <si>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</si>
  <si>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</si>
  <si>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</si>
  <si>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</si>
  <si>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</si>
  <si>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</si>
  <si>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</si>
  <si>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</si>
  <si>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Магистр</t>
  </si>
  <si>
    <t>37.04.01 Психология</t>
  </si>
  <si>
    <t>магистра</t>
  </si>
  <si>
    <t xml:space="preserve">Выпускная квалификационная работа (магистерская диссертация) </t>
  </si>
  <si>
    <t>Дисицплина 66</t>
  </si>
  <si>
    <t>Наименование ОПОП</t>
  </si>
  <si>
    <t xml:space="preserve">Направленность (профиль) образовательной программы: </t>
  </si>
  <si>
    <t>XXXX/М24</t>
  </si>
  <si>
    <t>XX июня 2024 года</t>
  </si>
  <si>
    <t>(протокол № ___ от «XX» июня 2024 г.)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</si>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</sst>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17" sqref="B1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72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161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166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167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73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17" sqref="B1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85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87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86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159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160</v>
      </c>
      <c r="C14" s="57"/>
      <c r="D14" s="57"/>
      <c r="E14" s="57"/>
      <c r="F14" s="3"/>
    </row>
    <row r="15" spans="1:6" x14ac:dyDescent="0.25">
      <c r="A15" s="56" t="s">
        <v>80</v>
      </c>
      <c r="B15" s="70" t="s">
        <v>168</v>
      </c>
      <c r="C15" s="154" t="s">
        <v>88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2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abSelected="1" topLeftCell="A61" zoomScaleNormal="100" workbookViewId="0">
      <selection activeCell="D73" sqref="D73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81</v>
      </c>
      <c r="C1" s="74" t="s">
        <v>82</v>
      </c>
      <c r="D1" s="74" t="s">
        <v>24</v>
      </c>
      <c r="E1" s="72" t="s">
        <v>83</v>
      </c>
      <c r="F1" s="3"/>
    </row>
    <row r="2" spans="1:6" x14ac:dyDescent="0.25">
      <c r="A2" s="75">
        <v>1</v>
      </c>
      <c r="B2" s="51" t="s">
        <v>89</v>
      </c>
      <c r="C2" s="52" t="s">
        <v>169</v>
      </c>
      <c r="D2" s="51" t="s">
        <v>170</v>
      </c>
      <c r="E2" s="73">
        <f>LEN(B2)</f>
        <v>12</v>
      </c>
      <c r="F2" s="3"/>
    </row>
    <row r="3" spans="1:6" x14ac:dyDescent="0.25">
      <c r="A3" s="75">
        <v>2</v>
      </c>
      <c r="B3" s="51" t="s">
        <v>90</v>
      </c>
      <c r="C3" s="52" t="s">
        <v>169</v>
      </c>
      <c r="D3" s="51" t="s">
        <v>170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91</v>
      </c>
      <c r="C4" s="52" t="s">
        <v>169</v>
      </c>
      <c r="D4" s="51" t="s">
        <v>170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92</v>
      </c>
      <c r="C5" s="52" t="s">
        <v>169</v>
      </c>
      <c r="D5" s="51" t="s">
        <v>170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93</v>
      </c>
      <c r="C6" s="52" t="s">
        <v>169</v>
      </c>
      <c r="D6" s="51" t="s">
        <v>170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94</v>
      </c>
      <c r="C7" s="52" t="s">
        <v>169</v>
      </c>
      <c r="D7" s="51" t="s">
        <v>170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95</v>
      </c>
      <c r="C8" s="52" t="s">
        <v>169</v>
      </c>
      <c r="D8" s="51" t="s">
        <v>170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96</v>
      </c>
      <c r="C9" s="52" t="s">
        <v>169</v>
      </c>
      <c r="D9" s="51" t="s">
        <v>170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97</v>
      </c>
      <c r="C10" s="52" t="s">
        <v>169</v>
      </c>
      <c r="D10" s="51" t="s">
        <v>170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98</v>
      </c>
      <c r="C11" s="52" t="s">
        <v>169</v>
      </c>
      <c r="D11" s="51" t="s">
        <v>170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99</v>
      </c>
      <c r="C12" s="52" t="s">
        <v>169</v>
      </c>
      <c r="D12" s="51" t="s">
        <v>170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100</v>
      </c>
      <c r="C13" s="52" t="s">
        <v>169</v>
      </c>
      <c r="D13" s="51" t="s">
        <v>170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101</v>
      </c>
      <c r="C14" s="52" t="s">
        <v>169</v>
      </c>
      <c r="D14" s="51" t="s">
        <v>170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102</v>
      </c>
      <c r="C15" s="52" t="s">
        <v>169</v>
      </c>
      <c r="D15" s="51" t="s">
        <v>170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103</v>
      </c>
      <c r="C16" s="52" t="s">
        <v>169</v>
      </c>
      <c r="D16" s="51" t="s">
        <v>170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104</v>
      </c>
      <c r="C17" s="52" t="s">
        <v>169</v>
      </c>
      <c r="D17" s="51" t="s">
        <v>170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105</v>
      </c>
      <c r="C18" s="52" t="s">
        <v>169</v>
      </c>
      <c r="D18" s="51" t="s">
        <v>170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106</v>
      </c>
      <c r="C19" s="52" t="s">
        <v>169</v>
      </c>
      <c r="D19" s="51" t="s">
        <v>170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107</v>
      </c>
      <c r="C20" s="52" t="s">
        <v>169</v>
      </c>
      <c r="D20" s="51" t="s">
        <v>170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108</v>
      </c>
      <c r="C21" s="52" t="s">
        <v>169</v>
      </c>
      <c r="D21" s="51" t="s">
        <v>170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109</v>
      </c>
      <c r="C22" s="52" t="s">
        <v>169</v>
      </c>
      <c r="D22" s="51" t="s">
        <v>170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110</v>
      </c>
      <c r="C23" s="52" t="s">
        <v>169</v>
      </c>
      <c r="D23" s="51" t="s">
        <v>170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111</v>
      </c>
      <c r="C24" s="52" t="s">
        <v>169</v>
      </c>
      <c r="D24" s="51" t="s">
        <v>170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112</v>
      </c>
      <c r="C25" s="52" t="s">
        <v>169</v>
      </c>
      <c r="D25" s="51" t="s">
        <v>170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113</v>
      </c>
      <c r="C26" s="52" t="s">
        <v>169</v>
      </c>
      <c r="D26" s="51" t="s">
        <v>170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114</v>
      </c>
      <c r="C27" s="52" t="s">
        <v>169</v>
      </c>
      <c r="D27" s="51" t="s">
        <v>170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115</v>
      </c>
      <c r="C28" s="52" t="s">
        <v>169</v>
      </c>
      <c r="D28" s="51" t="s">
        <v>170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116</v>
      </c>
      <c r="C29" s="52" t="s">
        <v>169</v>
      </c>
      <c r="D29" s="51" t="s">
        <v>170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117</v>
      </c>
      <c r="C30" s="52" t="s">
        <v>169</v>
      </c>
      <c r="D30" s="51" t="s">
        <v>170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118</v>
      </c>
      <c r="C31" s="52" t="s">
        <v>169</v>
      </c>
      <c r="D31" s="51" t="s">
        <v>170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119</v>
      </c>
      <c r="C32" s="52" t="s">
        <v>169</v>
      </c>
      <c r="D32" s="51" t="s">
        <v>170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120</v>
      </c>
      <c r="C33" s="52" t="s">
        <v>169</v>
      </c>
      <c r="D33" s="51" t="s">
        <v>170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121</v>
      </c>
      <c r="C34" s="52" t="s">
        <v>169</v>
      </c>
      <c r="D34" s="51" t="s">
        <v>170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122</v>
      </c>
      <c r="C35" s="52" t="s">
        <v>169</v>
      </c>
      <c r="D35" s="51" t="s">
        <v>170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123</v>
      </c>
      <c r="C36" s="52" t="s">
        <v>169</v>
      </c>
      <c r="D36" s="51" t="s">
        <v>170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124</v>
      </c>
      <c r="C37" s="52" t="s">
        <v>169</v>
      </c>
      <c r="D37" s="51" t="s">
        <v>170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125</v>
      </c>
      <c r="C38" s="52" t="s">
        <v>169</v>
      </c>
      <c r="D38" s="51" t="s">
        <v>170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126</v>
      </c>
      <c r="C39" s="52" t="s">
        <v>169</v>
      </c>
      <c r="D39" s="51" t="s">
        <v>170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127</v>
      </c>
      <c r="C40" s="52" t="s">
        <v>169</v>
      </c>
      <c r="D40" s="51" t="s">
        <v>170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128</v>
      </c>
      <c r="C41" s="52" t="s">
        <v>169</v>
      </c>
      <c r="D41" s="51" t="s">
        <v>170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129</v>
      </c>
      <c r="C42" s="52" t="s">
        <v>169</v>
      </c>
      <c r="D42" s="51" t="s">
        <v>170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130</v>
      </c>
      <c r="C43" s="52" t="s">
        <v>169</v>
      </c>
      <c r="D43" s="51" t="s">
        <v>170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131</v>
      </c>
      <c r="C44" s="52" t="s">
        <v>169</v>
      </c>
      <c r="D44" s="51" t="s">
        <v>170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132</v>
      </c>
      <c r="C45" s="52" t="s">
        <v>169</v>
      </c>
      <c r="D45" s="51" t="s">
        <v>170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133</v>
      </c>
      <c r="C46" s="52" t="s">
        <v>169</v>
      </c>
      <c r="D46" s="51" t="s">
        <v>170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134</v>
      </c>
      <c r="C47" s="52" t="s">
        <v>169</v>
      </c>
      <c r="D47" s="51" t="s">
        <v>170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135</v>
      </c>
      <c r="C48" s="52" t="s">
        <v>169</v>
      </c>
      <c r="D48" s="51" t="s">
        <v>170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136</v>
      </c>
      <c r="C49" s="52" t="s">
        <v>169</v>
      </c>
      <c r="D49" s="51" t="s">
        <v>170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137</v>
      </c>
      <c r="C50" s="52" t="s">
        <v>169</v>
      </c>
      <c r="D50" s="51" t="s">
        <v>170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138</v>
      </c>
      <c r="C51" s="52" t="s">
        <v>169</v>
      </c>
      <c r="D51" s="51" t="s">
        <v>170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139</v>
      </c>
      <c r="C52" s="52" t="s">
        <v>169</v>
      </c>
      <c r="D52" s="51" t="s">
        <v>170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140</v>
      </c>
      <c r="C53" s="52" t="s">
        <v>169</v>
      </c>
      <c r="D53" s="51" t="s">
        <v>170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141</v>
      </c>
      <c r="C54" s="52" t="s">
        <v>169</v>
      </c>
      <c r="D54" s="51" t="s">
        <v>170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142</v>
      </c>
      <c r="C55" s="52" t="s">
        <v>169</v>
      </c>
      <c r="D55" s="51" t="s">
        <v>170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143</v>
      </c>
      <c r="C56" s="52" t="s">
        <v>169</v>
      </c>
      <c r="D56" s="51" t="s">
        <v>170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144</v>
      </c>
      <c r="C57" s="52" t="s">
        <v>169</v>
      </c>
      <c r="D57" s="51" t="s">
        <v>170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145</v>
      </c>
      <c r="C58" s="52" t="s">
        <v>169</v>
      </c>
      <c r="D58" s="51" t="s">
        <v>170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146</v>
      </c>
      <c r="C59" s="52" t="s">
        <v>169</v>
      </c>
      <c r="D59" s="51" t="s">
        <v>170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147</v>
      </c>
      <c r="C60" s="52" t="s">
        <v>169</v>
      </c>
      <c r="D60" s="51" t="s">
        <v>170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148</v>
      </c>
      <c r="C61" s="52" t="s">
        <v>169</v>
      </c>
      <c r="D61" s="51" t="s">
        <v>170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149</v>
      </c>
      <c r="C62" s="52" t="s">
        <v>169</v>
      </c>
      <c r="D62" s="51" t="s">
        <v>170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150</v>
      </c>
      <c r="C63" s="52" t="s">
        <v>169</v>
      </c>
      <c r="D63" s="51" t="s">
        <v>170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151</v>
      </c>
      <c r="C64" s="52" t="s">
        <v>169</v>
      </c>
      <c r="D64" s="51" t="s">
        <v>170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152</v>
      </c>
      <c r="C65" s="52" t="s">
        <v>169</v>
      </c>
      <c r="D65" s="51" t="s">
        <v>170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153</v>
      </c>
      <c r="C66" s="52" t="s">
        <v>169</v>
      </c>
      <c r="D66" s="51" t="s">
        <v>170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163</v>
      </c>
      <c r="C67" s="52" t="s">
        <v>169</v>
      </c>
      <c r="D67" s="51" t="s">
        <v>170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169</v>
      </c>
      <c r="D68" s="51" t="s">
        <v>170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169</v>
      </c>
      <c r="D69" s="51" t="s">
        <v>170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169</v>
      </c>
      <c r="D70" s="51" t="s">
        <v>170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169</v>
      </c>
      <c r="D71" s="51" t="s">
        <v>170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169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169</v>
      </c>
      <c r="D74" s="51" t="s">
        <v>170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169</v>
      </c>
      <c r="D75" s="51" t="s">
        <v>170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169</v>
      </c>
      <c r="D76" s="51" t="s">
        <v>170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169</v>
      </c>
      <c r="D77" s="51" t="s">
        <v>170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169</v>
      </c>
      <c r="D78" s="51" t="s">
        <v>170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171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162</v>
      </c>
      <c r="C81" s="52"/>
      <c r="D81" s="51"/>
      <c r="E81" s="73">
        <f t="shared" si="1"/>
        <v>61</v>
      </c>
      <c r="F81" s="3"/>
    </row>
    <row r="82" spans="1:6" x14ac:dyDescent="0.25">
      <c r="A82" s="75">
        <v>81</v>
      </c>
      <c r="B82" s="51" t="s">
        <v>70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71</v>
      </c>
      <c r="C83" s="52" t="s">
        <v>63</v>
      </c>
      <c r="D83" s="51" t="s">
        <v>170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74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75</v>
      </c>
      <c r="C86" s="52" t="s">
        <v>172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76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77</v>
      </c>
      <c r="C88" s="52"/>
      <c r="D88" s="51" t="s">
        <v>170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76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77</v>
      </c>
      <c r="C90" s="52"/>
      <c r="D90" s="51" t="s">
        <v>170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78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L22" sqref="L22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79</v>
      </c>
      <c r="C1" s="160"/>
      <c r="D1" s="74" t="s">
        <v>84</v>
      </c>
      <c r="E1" s="86"/>
    </row>
    <row r="2" spans="1:5" x14ac:dyDescent="0.25">
      <c r="A2" s="82">
        <v>1</v>
      </c>
      <c r="B2" s="157" t="s">
        <v>165</v>
      </c>
      <c r="C2" s="158"/>
      <c r="D2" s="79">
        <f>LEN(B2)</f>
        <v>52</v>
      </c>
      <c r="E2" s="76"/>
    </row>
    <row r="3" spans="1:5" x14ac:dyDescent="0.25">
      <c r="A3" s="79">
        <v>2</v>
      </c>
      <c r="B3" s="157" t="s">
        <v>164</v>
      </c>
      <c r="C3" s="158"/>
      <c r="D3" s="79">
        <f t="shared" ref="D3:D41" si="0">LEN(B3)</f>
        <v>17</v>
      </c>
      <c r="E3" s="76"/>
    </row>
    <row r="4" spans="1:5" x14ac:dyDescent="0.25">
      <c r="A4" s="79">
        <v>3</v>
      </c>
      <c r="B4" s="157" t="s">
        <v>65</v>
      </c>
      <c r="C4" s="158"/>
      <c r="D4" s="79">
        <f t="shared" si="0"/>
        <v>21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password="DBF4" sheet="1" objects="1" scenarios="1"/>
  <mergeCells count="4">
    <mergeCell ref="B2:C2"/>
    <mergeCell ref="B3:C3"/>
    <mergeCell ref="B1:C1"/>
    <mergeCell ref="B4:C4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69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K41" zoomScaleNormal="70" zoomScaleSheetLayoutView="100" workbookViewId="0">
      <selection activeCell="BV147" sqref="BV147:CZ152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4" t="str">
        <f>IF(LEN(TRIM('4 доп.сведения'!B2))=0," ",'4 доп.сведения'!B2)</f>
        <v xml:space="preserve">Направленность (профиль) образовательной программы: 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4" t="str">
        <f>IF(LEN(TRIM('4 доп.сведения'!B3))=0," ",'4 доп.сведения'!B3)</f>
        <v>Наименование ОПОП</v>
      </c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1" t="str">
        <f>IF(LEN(TRIM('4 доп.сведения'!B4))=0," ",'4 доп.сведения'!B4)</f>
        <v>Форма обучения: очная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1" t="str">
        <f>IF(LEN(TRIM('4 доп.сведения'!B5))=0," ",'4 доп.сведения'!B5)</f>
        <v xml:space="preserve"> 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3" t="str">
        <f>'1 Обладатель диплома'!B3</f>
        <v>Фамилия</v>
      </c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1" t="str">
        <f>IF(LEN(TRIM('4 доп.сведения'!B6))=0," ",'4 доп.сведения'!B6)</f>
        <v xml:space="preserve"> 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1" t="str">
        <f>IF(LEN(TRIM('4 доп.сведения'!B7))=0," ",'4 доп.сведения'!B7)</f>
        <v xml:space="preserve"> 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1" t="str">
        <f>IF(LEN(TRIM('4 доп.сведения'!B8))=0," ",'4 доп.сведения'!B8)</f>
        <v xml:space="preserve"> 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1" t="str">
        <f>IF(LEN(TRIM('4 доп.сведения'!B9))=0," ",'4 доп.сведения'!B9)</f>
        <v xml:space="preserve"> 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3" t="str">
        <f>'1 Обладатель диплома'!B4</f>
        <v>Имя</v>
      </c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3"/>
      <c r="CG38" s="163"/>
      <c r="CH38" s="163"/>
      <c r="CI38" s="163"/>
      <c r="CJ38" s="163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3"/>
      <c r="CZ38" s="163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3"/>
      <c r="CG39" s="163"/>
      <c r="CH39" s="163"/>
      <c r="CI39" s="163"/>
      <c r="CJ39" s="163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3"/>
      <c r="CZ39" s="163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1" t="str">
        <f>IF(LEN(TRIM('4 доп.сведения'!B10))=0," ",'4 доп.сведения'!B10)</f>
        <v xml:space="preserve"> 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1" t="str">
        <f>IF(LEN(TRIM('4 доп.сведения'!B11))=0," ",'4 доп.сведения'!B11)</f>
        <v xml:space="preserve"> 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161"/>
      <c r="AY43" s="161"/>
      <c r="AZ43" s="161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30"/>
      <c r="BB45" s="30"/>
      <c r="BC45" s="30"/>
      <c r="BD45" s="30"/>
      <c r="BE45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7"/>
      <c r="BG45" s="167"/>
      <c r="BH45" s="167"/>
      <c r="BI45" s="167"/>
      <c r="BJ45" s="167"/>
      <c r="BK45" s="167"/>
      <c r="BL45" s="167"/>
      <c r="BM45" s="167"/>
      <c r="BN45" s="167"/>
      <c r="BO45" s="167"/>
      <c r="BP45" s="167"/>
      <c r="BQ45" s="167"/>
      <c r="BR45" s="167"/>
      <c r="BS45" s="167"/>
      <c r="BT45" s="167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1" t="str">
        <f>IF(LEN(TRIM('4 доп.сведения'!B12))=0," ",'4 доп.сведения'!B12)</f>
        <v xml:space="preserve"> </v>
      </c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30"/>
      <c r="BB46" s="30"/>
      <c r="BC46" s="30"/>
      <c r="BD46" s="30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7"/>
      <c r="BQ46" s="167"/>
      <c r="BR46" s="167"/>
      <c r="BS46" s="167"/>
      <c r="BT46" s="167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30"/>
      <c r="BB47" s="30"/>
      <c r="BC47" s="30"/>
      <c r="BD47" s="30"/>
      <c r="BE47" s="167"/>
      <c r="BF47" s="167"/>
      <c r="BG47" s="167"/>
      <c r="BH47" s="167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30"/>
      <c r="BB48" s="30"/>
      <c r="BC48" s="30"/>
      <c r="BD48" s="30"/>
      <c r="BE48" s="167"/>
      <c r="BF48" s="167"/>
      <c r="BG48" s="167"/>
      <c r="BH48" s="167"/>
      <c r="BI48" s="167"/>
      <c r="BJ48" s="167"/>
      <c r="BK48" s="167"/>
      <c r="BL48" s="167"/>
      <c r="BM48" s="167"/>
      <c r="BN48" s="167"/>
      <c r="BO48" s="167"/>
      <c r="BP48" s="167"/>
      <c r="BQ48" s="167"/>
      <c r="BR48" s="167"/>
      <c r="BS48" s="167"/>
      <c r="BT48" s="16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1" t="str">
        <f>IF(LEN(TRIM('4 доп.сведения'!B13))=0," ",'4 доп.сведения'!B13)</f>
        <v xml:space="preserve"> </v>
      </c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30"/>
      <c r="BB49" s="30"/>
      <c r="BC49" s="30"/>
      <c r="BD49" s="30"/>
      <c r="BE49" s="167"/>
      <c r="BF49" s="167"/>
      <c r="BG49" s="167"/>
      <c r="BH49" s="167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3" t="str">
        <f>'1 Обладатель диплома'!B5</f>
        <v>Отчество</v>
      </c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30"/>
      <c r="BB50" s="30"/>
      <c r="BC50" s="30"/>
      <c r="BD50" s="30"/>
      <c r="BE50" s="167"/>
      <c r="BF50" s="167"/>
      <c r="BG50" s="167"/>
      <c r="BH50" s="167"/>
      <c r="BI50" s="167"/>
      <c r="BJ50" s="167"/>
      <c r="BK50" s="167"/>
      <c r="BL50" s="167"/>
      <c r="BM50" s="167"/>
      <c r="BN50" s="167"/>
      <c r="BO50" s="167"/>
      <c r="BP50" s="167"/>
      <c r="BQ50" s="167"/>
      <c r="BR50" s="167"/>
      <c r="BS50" s="167"/>
      <c r="BT50" s="167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30"/>
      <c r="BB51" s="30"/>
      <c r="BC51" s="30"/>
      <c r="BD51" s="30"/>
      <c r="BE51" s="167"/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1" t="str">
        <f>IF(LEN(TRIM('4 доп.сведения'!B14))=0," ",'4 доп.сведения'!B14)</f>
        <v xml:space="preserve"> </v>
      </c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30"/>
      <c r="BB52" s="30"/>
      <c r="BC52" s="30"/>
      <c r="BD52" s="30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30"/>
      <c r="BB53" s="30"/>
      <c r="BC53" s="30"/>
      <c r="BD53" s="30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30"/>
      <c r="BB54" s="30"/>
      <c r="BC54" s="30"/>
      <c r="BD54" s="30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1" t="str">
        <f>IF(LEN(TRIM('4 доп.сведения'!B15))=0," ",'4 доп.сведения'!B15)</f>
        <v xml:space="preserve"> </v>
      </c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30"/>
      <c r="BB55" s="30"/>
      <c r="BC55" s="30"/>
      <c r="BD55" s="30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30"/>
      <c r="BB56" s="30"/>
      <c r="BC56" s="30"/>
      <c r="BD56" s="30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30"/>
      <c r="BB57" s="30"/>
      <c r="BC57" s="30"/>
      <c r="BD57" s="30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1" t="str">
        <f>IF(LEN(TRIM('4 доп.сведения'!B16))=0," ",'4 доп.сведения'!B16)</f>
        <v xml:space="preserve"> </v>
      </c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30"/>
      <c r="BB58" s="30"/>
      <c r="BC58" s="30"/>
      <c r="BD58" s="30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30"/>
      <c r="BB59" s="30"/>
      <c r="BC59" s="30"/>
      <c r="BD59" s="30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3" t="str">
        <f>'1 Обладатель диплома'!B6</f>
        <v>01 января 1988 года</v>
      </c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30"/>
      <c r="BB60" s="30"/>
      <c r="BC60" s="30"/>
      <c r="BD60" s="30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1" t="str">
        <f>IF(LEN(TRIM('4 доп.сведения'!B17))=0," ",'4 доп.сведения'!B17)</f>
        <v xml:space="preserve"> </v>
      </c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30"/>
      <c r="BB61" s="30"/>
      <c r="BC61" s="30"/>
      <c r="BD61" s="30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30"/>
      <c r="BB62" s="30"/>
      <c r="BC62" s="30"/>
      <c r="BD62" s="30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30"/>
      <c r="BB63" s="30"/>
      <c r="BC63" s="30"/>
      <c r="BD63" s="30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1" t="str">
        <f>IF(LEN(TRIM('4 доп.сведения'!B18))=0," ",'4 доп.сведения'!B18)</f>
        <v xml:space="preserve"> </v>
      </c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30"/>
      <c r="BB64" s="30"/>
      <c r="BC64" s="30"/>
      <c r="BD64" s="30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30"/>
      <c r="BB65" s="30"/>
      <c r="BC65" s="30"/>
      <c r="BD65" s="30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30"/>
      <c r="BB66" s="30"/>
      <c r="BC66" s="30"/>
      <c r="BD66" s="30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1" t="str">
        <f>IF(LEN(TRIM('4 доп.сведения'!B19))=0," ",'4 доп.сведения'!B19)</f>
        <v xml:space="preserve"> </v>
      </c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30"/>
      <c r="BB67" s="30"/>
      <c r="BC67" s="30"/>
      <c r="BD67" s="30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30"/>
      <c r="BB68" s="30"/>
      <c r="BC68" s="30"/>
      <c r="BD68" s="30"/>
      <c r="BE68" s="161" t="str">
        <f>Диплом!B3</f>
        <v>г Москва</v>
      </c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30"/>
      <c r="BB69" s="30"/>
      <c r="BC69" s="30"/>
      <c r="BD69" s="30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1" t="str">
        <f>IF(LEN(TRIM('4 доп.сведения'!B20))=0," ",'4 доп.сведения'!B20)</f>
        <v xml:space="preserve"> </v>
      </c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1" t="str">
        <f>IF(LEN(TRIM('4 доп.сведения'!B21))=0," ",'4 доп.сведения'!B21)</f>
        <v xml:space="preserve"> </v>
      </c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1" t="str">
        <f>IF(LEN(TRIM('4 доп.сведения'!B22))=0," ",'4 доп.сведения'!B22)</f>
        <v xml:space="preserve"> </v>
      </c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1" t="str">
        <f>IF(LEN(TRIM('4 доп.сведения'!B23))=0," ",'4 доп.сведения'!B23)</f>
        <v xml:space="preserve"> </v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8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1" t="str">
        <f>IF(LEN(TRIM('4 доп.сведения'!B24))=0," ",'4 доп.сведения'!B24)</f>
        <v xml:space="preserve"> </v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1" t="str">
        <f>IF(LEN(TRIM('4 доп.сведения'!B25))=0," ",'4 доп.сведения'!B25)</f>
        <v xml:space="preserve"> </v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30"/>
      <c r="BB87" s="30"/>
      <c r="BC87" s="30"/>
      <c r="BD87" s="30"/>
      <c r="BE87" s="161" t="str">
        <f>IF(Диплом!B4=""," ",Диплом!B4)</f>
        <v xml:space="preserve"> </v>
      </c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1" t="str">
        <f>IF(LEN(TRIM('4 доп.сведения'!B26))=0," ",'4 доп.сведения'!B26)</f>
        <v xml:space="preserve"> </v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30"/>
      <c r="BB89" s="30"/>
      <c r="BC89" s="30"/>
      <c r="BD89" s="30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30"/>
      <c r="BB90" s="30"/>
      <c r="BC90" s="30"/>
      <c r="BD90" s="30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1" t="str">
        <f>IF(LEN(TRIM('4 доп.сведения'!B27))=0," ",'4 доп.сведения'!B27)</f>
        <v xml:space="preserve"> </v>
      </c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30"/>
      <c r="BB91" s="30"/>
      <c r="BC91" s="30"/>
      <c r="BD91" s="30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30"/>
      <c r="BB92" s="30"/>
      <c r="BC92" s="30"/>
      <c r="BD92" s="30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30"/>
      <c r="BB93" s="30"/>
      <c r="BC93" s="30"/>
      <c r="BD93" s="30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1" t="str">
        <f>Диплом!B5&amp;" "&amp;Диплом!B6</f>
        <v>магистра с отличием</v>
      </c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1" t="str">
        <f>IF(LEN(TRIM('1 Обладатель диплома'!B11))=0," ",'1 Обладатель диплома'!B11)</f>
        <v>Магистр</v>
      </c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2" t="str">
        <f>IF(LEN(TRIM('1 Обладатель диплома'!B14))=0," ",'1 Обладатель диплома'!B14)</f>
        <v>37.04.01 Психология</v>
      </c>
      <c r="BX123" s="162"/>
      <c r="BY123" s="162"/>
      <c r="BZ123" s="162"/>
      <c r="CA123" s="162"/>
      <c r="CB123" s="162"/>
      <c r="CC123" s="162"/>
      <c r="CD123" s="162"/>
      <c r="CE123" s="162"/>
      <c r="CF123" s="162"/>
      <c r="CG123" s="162"/>
      <c r="CH123" s="162"/>
      <c r="CI123" s="162"/>
      <c r="CJ123" s="162"/>
      <c r="CK123" s="162"/>
      <c r="CL123" s="162"/>
      <c r="CM123" s="162"/>
      <c r="CN123" s="162"/>
      <c r="CO123" s="162"/>
      <c r="CP123" s="162"/>
      <c r="CQ123" s="162"/>
      <c r="CR123" s="162"/>
      <c r="CS123" s="162"/>
      <c r="CT123" s="162"/>
      <c r="CU123" s="162"/>
      <c r="CV123" s="162"/>
      <c r="CW123" s="162"/>
      <c r="CX123" s="162"/>
      <c r="CY123" s="162"/>
      <c r="CZ123" s="162"/>
      <c r="DA123" s="162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166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2"/>
      <c r="BX124" s="162"/>
      <c r="BY124" s="162"/>
      <c r="BZ124" s="162"/>
      <c r="CA124" s="162"/>
      <c r="CB124" s="162"/>
      <c r="CC124" s="162"/>
      <c r="CD124" s="162"/>
      <c r="CE124" s="162"/>
      <c r="CF124" s="162"/>
      <c r="CG124" s="162"/>
      <c r="CH124" s="162"/>
      <c r="CI124" s="162"/>
      <c r="CJ124" s="162"/>
      <c r="CK124" s="162"/>
      <c r="CL124" s="162"/>
      <c r="CM124" s="162"/>
      <c r="CN124" s="162"/>
      <c r="CO124" s="162"/>
      <c r="CP124" s="162"/>
      <c r="CQ124" s="162"/>
      <c r="CR124" s="162"/>
      <c r="CS124" s="162"/>
      <c r="CT124" s="162"/>
      <c r="CU124" s="162"/>
      <c r="CV124" s="162"/>
      <c r="CW124" s="162"/>
      <c r="CX124" s="162"/>
      <c r="CY124" s="162"/>
      <c r="CZ124" s="162"/>
      <c r="DA124" s="162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2"/>
      <c r="BX125" s="162"/>
      <c r="BY125" s="162"/>
      <c r="BZ125" s="162"/>
      <c r="CA125" s="162"/>
      <c r="CB125" s="162"/>
      <c r="CC125" s="162"/>
      <c r="CD125" s="162"/>
      <c r="CE125" s="162"/>
      <c r="CF125" s="162"/>
      <c r="CG125" s="162"/>
      <c r="CH125" s="162"/>
      <c r="CI125" s="162"/>
      <c r="CJ125" s="162"/>
      <c r="CK125" s="162"/>
      <c r="CL125" s="162"/>
      <c r="CM125" s="162"/>
      <c r="CN125" s="162"/>
      <c r="CO125" s="162"/>
      <c r="CP125" s="162"/>
      <c r="CQ125" s="162"/>
      <c r="CR125" s="162"/>
      <c r="CS125" s="162"/>
      <c r="CT125" s="162"/>
      <c r="CU125" s="162"/>
      <c r="CV125" s="162"/>
      <c r="CW125" s="162"/>
      <c r="CX125" s="162"/>
      <c r="CY125" s="162"/>
      <c r="CZ125" s="162"/>
      <c r="DA125" s="162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6" t="str">
        <f>IF(LEN(TRIM('5 Доп сведения'!C7))=0," ",'5 Доп сведения'!C7)</f>
        <v xml:space="preserve"> </v>
      </c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42"/>
      <c r="BB126" s="42"/>
      <c r="BC126" s="42"/>
      <c r="BD126" s="42"/>
      <c r="BE126" s="161" t="str">
        <f>Диплом!B7</f>
        <v>XXXX/М24</v>
      </c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41"/>
      <c r="BV126" s="41"/>
      <c r="BW126" s="162"/>
      <c r="BX126" s="162"/>
      <c r="BY126" s="162"/>
      <c r="BZ126" s="162"/>
      <c r="CA126" s="162"/>
      <c r="CB126" s="162"/>
      <c r="CC126" s="162"/>
      <c r="CD126" s="162"/>
      <c r="CE126" s="162"/>
      <c r="CF126" s="162"/>
      <c r="CG126" s="162"/>
      <c r="CH126" s="162"/>
      <c r="CI126" s="162"/>
      <c r="CJ126" s="162"/>
      <c r="CK126" s="162"/>
      <c r="CL126" s="162"/>
      <c r="CM126" s="162"/>
      <c r="CN126" s="162"/>
      <c r="CO126" s="162"/>
      <c r="CP126" s="162"/>
      <c r="CQ126" s="162"/>
      <c r="CR126" s="162"/>
      <c r="CS126" s="162"/>
      <c r="CT126" s="162"/>
      <c r="CU126" s="162"/>
      <c r="CV126" s="162"/>
      <c r="CW126" s="162"/>
      <c r="CX126" s="162"/>
      <c r="CY126" s="162"/>
      <c r="CZ126" s="162"/>
      <c r="DA126" s="162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42"/>
      <c r="BB127" s="42"/>
      <c r="BC127" s="42"/>
      <c r="BD127" s="42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41"/>
      <c r="BV127" s="41"/>
      <c r="BW127" s="162" t="str">
        <f>IF(LEN(TRIM('1 Обладатель диплома'!B15))=0," ",'1 Обладатель диплома'!B15)</f>
        <v>(протокол № ___ от «XX» июня 2024 г.)</v>
      </c>
      <c r="BX127" s="162"/>
      <c r="BY127" s="162"/>
      <c r="BZ127" s="162"/>
      <c r="CA127" s="162"/>
      <c r="CB127" s="162"/>
      <c r="CC127" s="162"/>
      <c r="CD127" s="162"/>
      <c r="CE127" s="162"/>
      <c r="CF127" s="162"/>
      <c r="CG127" s="162"/>
      <c r="CH127" s="162"/>
      <c r="CI127" s="162"/>
      <c r="CJ127" s="162"/>
      <c r="CK127" s="162"/>
      <c r="CL127" s="162"/>
      <c r="CM127" s="162"/>
      <c r="CN127" s="162"/>
      <c r="CO127" s="162"/>
      <c r="CP127" s="162"/>
      <c r="CQ127" s="162"/>
      <c r="CR127" s="162"/>
      <c r="CS127" s="162"/>
      <c r="CT127" s="162"/>
      <c r="CU127" s="162"/>
      <c r="CV127" s="162"/>
      <c r="CW127" s="162"/>
      <c r="CX127" s="162"/>
      <c r="CY127" s="162"/>
      <c r="CZ127" s="162"/>
      <c r="DA127" s="162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6" t="str">
        <f>IF(LEN(TRIM('5 Доп сведения'!C8))=0," ",'5 Доп сведения'!C8)</f>
        <v xml:space="preserve"> </v>
      </c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166"/>
      <c r="BA128" s="42"/>
      <c r="BB128" s="42"/>
      <c r="BC128" s="42"/>
      <c r="BD128" s="42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30"/>
      <c r="BV128" s="30"/>
      <c r="BW128" s="162"/>
      <c r="BX128" s="162"/>
      <c r="BY128" s="162"/>
      <c r="BZ128" s="162"/>
      <c r="CA128" s="162"/>
      <c r="CB128" s="162"/>
      <c r="CC128" s="162"/>
      <c r="CD128" s="162"/>
      <c r="CE128" s="162"/>
      <c r="CF128" s="162"/>
      <c r="CG128" s="162"/>
      <c r="CH128" s="162"/>
      <c r="CI128" s="162"/>
      <c r="CJ128" s="162"/>
      <c r="CK128" s="162"/>
      <c r="CL128" s="162"/>
      <c r="CM128" s="162"/>
      <c r="CN128" s="162"/>
      <c r="CO128" s="162"/>
      <c r="CP128" s="162"/>
      <c r="CQ128" s="162"/>
      <c r="CR128" s="162"/>
      <c r="CS128" s="162"/>
      <c r="CT128" s="162"/>
      <c r="CU128" s="162"/>
      <c r="CV128" s="162"/>
      <c r="CW128" s="162"/>
      <c r="CX128" s="162"/>
      <c r="CY128" s="162"/>
      <c r="CZ128" s="162"/>
      <c r="DA128" s="162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42"/>
      <c r="BB129" s="42"/>
      <c r="BC129" s="42"/>
      <c r="BD129" s="42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30"/>
      <c r="BV129" s="30"/>
      <c r="BW129" s="162"/>
      <c r="BX129" s="162"/>
      <c r="BY129" s="162"/>
      <c r="BZ129" s="162"/>
      <c r="CA129" s="162"/>
      <c r="CB129" s="162"/>
      <c r="CC129" s="162"/>
      <c r="CD129" s="162"/>
      <c r="CE129" s="162"/>
      <c r="CF129" s="162"/>
      <c r="CG129" s="162"/>
      <c r="CH129" s="162"/>
      <c r="CI129" s="162"/>
      <c r="CJ129" s="162"/>
      <c r="CK129" s="162"/>
      <c r="CL129" s="162"/>
      <c r="CM129" s="162"/>
      <c r="CN129" s="162"/>
      <c r="CO129" s="162"/>
      <c r="CP129" s="162"/>
      <c r="CQ129" s="162"/>
      <c r="CR129" s="162"/>
      <c r="CS129" s="162"/>
      <c r="CT129" s="162"/>
      <c r="CU129" s="162"/>
      <c r="CV129" s="162"/>
      <c r="CW129" s="162"/>
      <c r="CX129" s="162"/>
      <c r="CY129" s="162"/>
      <c r="CZ129" s="162"/>
      <c r="DA129" s="162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6" t="str">
        <f>IF(LEN(TRIM('5 Доп сведения'!C9))=0," ",'5 Доп сведения'!C9)</f>
        <v xml:space="preserve"> </v>
      </c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44"/>
      <c r="BB130" s="44"/>
      <c r="BC130" s="44"/>
      <c r="BD130" s="44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30"/>
      <c r="BV130" s="30"/>
      <c r="BW130" s="162"/>
      <c r="BX130" s="162"/>
      <c r="BY130" s="162"/>
      <c r="BZ130" s="162"/>
      <c r="CA130" s="162"/>
      <c r="CB130" s="162"/>
      <c r="CC130" s="162"/>
      <c r="CD130" s="162"/>
      <c r="CE130" s="162"/>
      <c r="CF130" s="162"/>
      <c r="CG130" s="162"/>
      <c r="CH130" s="162"/>
      <c r="CI130" s="162"/>
      <c r="CJ130" s="162"/>
      <c r="CK130" s="162"/>
      <c r="CL130" s="162"/>
      <c r="CM130" s="162"/>
      <c r="CN130" s="162"/>
      <c r="CO130" s="162"/>
      <c r="CP130" s="162"/>
      <c r="CQ130" s="162"/>
      <c r="CR130" s="162"/>
      <c r="CS130" s="162"/>
      <c r="CT130" s="162"/>
      <c r="CU130" s="162"/>
      <c r="CV130" s="162"/>
      <c r="CW130" s="162"/>
      <c r="CX130" s="162"/>
      <c r="CY130" s="162"/>
      <c r="CZ130" s="162"/>
      <c r="DA130" s="162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6" t="str">
        <f>IF(LEN(TRIM('5 Доп сведения'!C10))=0," ",'5 Доп сведения'!C10)</f>
        <v xml:space="preserve"> </v>
      </c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6" t="str">
        <f>IF(LEN(TRIM('5 Доп сведения'!C11))=0," ",'5 Доп сведения'!C11)</f>
        <v xml:space="preserve"> 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6" t="str">
        <f>IF(LEN(TRIM('5 Доп сведения'!C12))=0," ",'5 Доп сведения'!C12)</f>
        <v xml:space="preserve"> </v>
      </c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6" t="str">
        <f>IF(LEN(TRIM('5 Доп сведения'!C13))=0," ",'5 Доп сведения'!C13)</f>
        <v xml:space="preserve"> </v>
      </c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6" t="str">
        <f>IF(LEN(TRIM('5 Доп сведения'!C14))=0," ",'5 Доп сведения'!C14)</f>
        <v xml:space="preserve"> </v>
      </c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1" t="str">
        <f>Диплом!B8</f>
        <v>XX июня 2024 года</v>
      </c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5" t="str">
        <f>Диплом!B9</f>
        <v>А.А. Марголис</v>
      </c>
      <c r="AE145" s="165"/>
      <c r="AF145" s="165"/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30"/>
      <c r="BB145" s="30"/>
      <c r="BC145" s="30"/>
      <c r="BD145" s="30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5"/>
      <c r="AE146" s="165"/>
      <c r="AF146" s="165"/>
      <c r="AG146" s="165"/>
      <c r="AH146" s="165"/>
      <c r="AI146" s="165"/>
      <c r="AJ146" s="165"/>
      <c r="AK146" s="165"/>
      <c r="AL146" s="165"/>
      <c r="AM146" s="165"/>
      <c r="AN146" s="165"/>
      <c r="AO146" s="165"/>
      <c r="AP146" s="165"/>
      <c r="AQ146" s="165"/>
      <c r="AR146" s="165"/>
      <c r="AS146" s="165"/>
      <c r="AT146" s="165"/>
      <c r="AU146" s="165"/>
      <c r="AV146" s="165"/>
      <c r="AW146" s="165"/>
      <c r="AX146" s="165"/>
      <c r="AY146" s="165"/>
      <c r="AZ146" s="165"/>
      <c r="BA146" s="30"/>
      <c r="BB146" s="30"/>
      <c r="BC146" s="30"/>
      <c r="BD146" s="30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5"/>
      <c r="AE147" s="165"/>
      <c r="AF147" s="165"/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30"/>
      <c r="BB147" s="30"/>
      <c r="BC147" s="30"/>
      <c r="BD147" s="30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30"/>
      <c r="BV147" s="169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W147" s="169"/>
      <c r="BX147" s="169"/>
      <c r="BY147" s="169"/>
      <c r="BZ147" s="169"/>
      <c r="CA147" s="169"/>
      <c r="CB147" s="169"/>
      <c r="CC147" s="169"/>
      <c r="CD147" s="169"/>
      <c r="CE147" s="169"/>
      <c r="CF147" s="169"/>
      <c r="CG147" s="169"/>
      <c r="CH147" s="169"/>
      <c r="CI147" s="169"/>
      <c r="CJ147" s="169"/>
      <c r="CK147" s="169"/>
      <c r="CL147" s="169"/>
      <c r="CM147" s="169"/>
      <c r="CN147" s="169"/>
      <c r="CO147" s="169"/>
      <c r="CP147" s="169"/>
      <c r="CQ147" s="169"/>
      <c r="CR147" s="169"/>
      <c r="CS147" s="169"/>
      <c r="CT147" s="169"/>
      <c r="CU147" s="169"/>
      <c r="CV147" s="169"/>
      <c r="CW147" s="169"/>
      <c r="CX147" s="169"/>
      <c r="CY147" s="169"/>
      <c r="CZ147" s="169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5"/>
      <c r="AE148" s="165"/>
      <c r="AF148" s="165"/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9"/>
      <c r="BW148" s="169"/>
      <c r="BX148" s="169"/>
      <c r="BY148" s="169"/>
      <c r="BZ148" s="169"/>
      <c r="CA148" s="169"/>
      <c r="CB148" s="169"/>
      <c r="CC148" s="169"/>
      <c r="CD148" s="169"/>
      <c r="CE148" s="169"/>
      <c r="CF148" s="169"/>
      <c r="CG148" s="169"/>
      <c r="CH148" s="169"/>
      <c r="CI148" s="169"/>
      <c r="CJ148" s="169"/>
      <c r="CK148" s="169"/>
      <c r="CL148" s="169"/>
      <c r="CM148" s="169"/>
      <c r="CN148" s="169"/>
      <c r="CO148" s="169"/>
      <c r="CP148" s="169"/>
      <c r="CQ148" s="169"/>
      <c r="CR148" s="169"/>
      <c r="CS148" s="169"/>
      <c r="CT148" s="169"/>
      <c r="CU148" s="169"/>
      <c r="CV148" s="169"/>
      <c r="CW148" s="169"/>
      <c r="CX148" s="169"/>
      <c r="CY148" s="169"/>
      <c r="CZ148" s="169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5"/>
      <c r="AE149" s="165"/>
      <c r="AF149" s="165"/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9"/>
      <c r="BW149" s="169"/>
      <c r="BX149" s="169"/>
      <c r="BY149" s="169"/>
      <c r="BZ149" s="169"/>
      <c r="CA149" s="169"/>
      <c r="CB149" s="169"/>
      <c r="CC149" s="169"/>
      <c r="CD149" s="169"/>
      <c r="CE149" s="169"/>
      <c r="CF149" s="169"/>
      <c r="CG149" s="169"/>
      <c r="CH149" s="169"/>
      <c r="CI149" s="169"/>
      <c r="CJ149" s="169"/>
      <c r="CK149" s="169"/>
      <c r="CL149" s="169"/>
      <c r="CM149" s="169"/>
      <c r="CN149" s="169"/>
      <c r="CO149" s="169"/>
      <c r="CP149" s="169"/>
      <c r="CQ149" s="169"/>
      <c r="CR149" s="169"/>
      <c r="CS149" s="169"/>
      <c r="CT149" s="169"/>
      <c r="CU149" s="169"/>
      <c r="CV149" s="169"/>
      <c r="CW149" s="169"/>
      <c r="CX149" s="169"/>
      <c r="CY149" s="169"/>
      <c r="CZ149" s="169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5"/>
      <c r="AE150" s="165"/>
      <c r="AF150" s="165"/>
      <c r="AG150" s="165"/>
      <c r="AH150" s="165"/>
      <c r="AI150" s="165"/>
      <c r="AJ150" s="165"/>
      <c r="AK150" s="165"/>
      <c r="AL150" s="165"/>
      <c r="AM150" s="165"/>
      <c r="AN150" s="165"/>
      <c r="AO150" s="165"/>
      <c r="AP150" s="165"/>
      <c r="AQ150" s="165"/>
      <c r="AR150" s="165"/>
      <c r="AS150" s="165"/>
      <c r="AT150" s="165"/>
      <c r="AU150" s="165"/>
      <c r="AV150" s="165"/>
      <c r="AW150" s="165"/>
      <c r="AX150" s="165"/>
      <c r="AY150" s="165"/>
      <c r="AZ150" s="165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9"/>
      <c r="BW150" s="169"/>
      <c r="BX150" s="169"/>
      <c r="BY150" s="169"/>
      <c r="BZ150" s="169"/>
      <c r="CA150" s="169"/>
      <c r="CB150" s="169"/>
      <c r="CC150" s="169"/>
      <c r="CD150" s="169"/>
      <c r="CE150" s="169"/>
      <c r="CF150" s="169"/>
      <c r="CG150" s="169"/>
      <c r="CH150" s="169"/>
      <c r="CI150" s="169"/>
      <c r="CJ150" s="169"/>
      <c r="CK150" s="169"/>
      <c r="CL150" s="169"/>
      <c r="CM150" s="169"/>
      <c r="CN150" s="169"/>
      <c r="CO150" s="169"/>
      <c r="CP150" s="169"/>
      <c r="CQ150" s="169"/>
      <c r="CR150" s="169"/>
      <c r="CS150" s="169"/>
      <c r="CT150" s="169"/>
      <c r="CU150" s="169"/>
      <c r="CV150" s="169"/>
      <c r="CW150" s="169"/>
      <c r="CX150" s="169"/>
      <c r="CY150" s="169"/>
      <c r="CZ150" s="169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5"/>
      <c r="AE151" s="165"/>
      <c r="AF151" s="165"/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9"/>
      <c r="BW151" s="169"/>
      <c r="BX151" s="169"/>
      <c r="BY151" s="169"/>
      <c r="BZ151" s="169"/>
      <c r="CA151" s="169"/>
      <c r="CB151" s="169"/>
      <c r="CC151" s="169"/>
      <c r="CD151" s="169"/>
      <c r="CE151" s="169"/>
      <c r="CF151" s="169"/>
      <c r="CG151" s="169"/>
      <c r="CH151" s="169"/>
      <c r="CI151" s="169"/>
      <c r="CJ151" s="169"/>
      <c r="CK151" s="169"/>
      <c r="CL151" s="169"/>
      <c r="CM151" s="169"/>
      <c r="CN151" s="169"/>
      <c r="CO151" s="169"/>
      <c r="CP151" s="169"/>
      <c r="CQ151" s="169"/>
      <c r="CR151" s="169"/>
      <c r="CS151" s="169"/>
      <c r="CT151" s="169"/>
      <c r="CU151" s="169"/>
      <c r="CV151" s="169"/>
      <c r="CW151" s="169"/>
      <c r="CX151" s="169"/>
      <c r="CY151" s="169"/>
      <c r="CZ151" s="169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9"/>
      <c r="BW152" s="169"/>
      <c r="BX152" s="169"/>
      <c r="BY152" s="169"/>
      <c r="BZ152" s="169"/>
      <c r="CA152" s="169"/>
      <c r="CB152" s="169"/>
      <c r="CC152" s="169"/>
      <c r="CD152" s="169"/>
      <c r="CE152" s="169"/>
      <c r="CF152" s="169"/>
      <c r="CG152" s="169"/>
      <c r="CH152" s="169"/>
      <c r="CI152" s="169"/>
      <c r="CJ152" s="169"/>
      <c r="CK152" s="169"/>
      <c r="CL152" s="169"/>
      <c r="CM152" s="169"/>
      <c r="CN152" s="169"/>
      <c r="CO152" s="169"/>
      <c r="CP152" s="169"/>
      <c r="CQ152" s="169"/>
      <c r="CR152" s="169"/>
      <c r="CS152" s="169"/>
      <c r="CT152" s="169"/>
      <c r="CU152" s="169"/>
      <c r="CV152" s="169"/>
      <c r="CW152" s="169"/>
      <c r="CX152" s="169"/>
      <c r="CY152" s="169"/>
      <c r="CZ152" s="169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54">
    <mergeCell ref="D138:AZ139"/>
    <mergeCell ref="D140:AZ141"/>
    <mergeCell ref="D136:AZ137"/>
    <mergeCell ref="D134:AZ135"/>
    <mergeCell ref="BE126:BT130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C16:AZ18"/>
    <mergeCell ref="C25:AZ27"/>
    <mergeCell ref="C28:AZ30"/>
    <mergeCell ref="C31:AZ33"/>
    <mergeCell ref="C34:AZ36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58:AZ60"/>
    <mergeCell ref="C61:AZ63"/>
    <mergeCell ref="C64:AZ66"/>
    <mergeCell ref="C67:AZ69"/>
    <mergeCell ref="C70:AZ72"/>
    <mergeCell ref="C88:AZ90"/>
    <mergeCell ref="C91:AZ93"/>
    <mergeCell ref="C73:AZ75"/>
    <mergeCell ref="C76:AZ78"/>
    <mergeCell ref="C79:AZ81"/>
    <mergeCell ref="C82:AZ84"/>
    <mergeCell ref="C85:AZ87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view="pageBreakPreview" zoomScaleNormal="90" zoomScaleSheetLayoutView="100" workbookViewId="0">
      <selection activeCell="AJ12" sqref="AJ12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Дисицплина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оценка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оценка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оценка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??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оценка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оценка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??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оценка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оценка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>?? з.е.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оценка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??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оценка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??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оценка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оценка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??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оценка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оценка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??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оценка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оценка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??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оценка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оценка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??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оценка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оценка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??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оценка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??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оценка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??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оценка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??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оценка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??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оценка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оценка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??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оценка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??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оценка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??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оценка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??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оценка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??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оценка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оценка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??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оценка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??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оценка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оценка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??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оценка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??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оценка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??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оценка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??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оценка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??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оценка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??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оценка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??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оценка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??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оценка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??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оценка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??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оценка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??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оценка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??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оценка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??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оценка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??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оценка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??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оценка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??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оценка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??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оценка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??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оценка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??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оценка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??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оценка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??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оценка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??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оценка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??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оценка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??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оценка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??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оценка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??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оценка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??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оценка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??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оценка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??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оценка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??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оценка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??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оценка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??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оценка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??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оценка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??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оценка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??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оценка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??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оценка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??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оценка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??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оценка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??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оценка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??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оценка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??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оценка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??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оценка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??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оценка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??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оценка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7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7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7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7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76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76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7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76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76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76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7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7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7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7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7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7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7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7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7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7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7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7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7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7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76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76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1" t="str">
        <f>'1 Обладатель диплома'!B4</f>
        <v>Имя</v>
      </c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76"/>
      <c r="B29" s="30"/>
      <c r="C29" s="34"/>
      <c r="D29" s="34"/>
      <c r="E29" s="166" t="str">
        <f>IF(LEN(TRIM('4 доп.сведения'!B2))=0," ",'4 доп.сведения'!B2)</f>
        <v xml:space="preserve">Направленность (профиль) образовательной программы: </v>
      </c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34"/>
      <c r="AM29" s="34"/>
      <c r="AN29" s="34"/>
      <c r="AO29" s="175" t="str">
        <f>IF(LEN(TRIM('4 доп.сведения'!C2))=0," ",'4 доп.сведения'!C2)</f>
        <v xml:space="preserve"> </v>
      </c>
      <c r="AP29" s="175"/>
      <c r="AQ29" s="175"/>
      <c r="AR29" s="175"/>
      <c r="AS29" s="175"/>
      <c r="AT29" s="175"/>
      <c r="AU29" s="175"/>
      <c r="AV29" s="175"/>
      <c r="AW29" s="175"/>
      <c r="AX29" s="175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  <c r="CS29" s="181"/>
      <c r="CT29" s="181"/>
      <c r="CU29" s="181"/>
      <c r="CV29" s="181"/>
      <c r="CW29" s="181"/>
      <c r="CX29" s="181"/>
      <c r="CY29" s="181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76"/>
      <c r="B30" s="30"/>
      <c r="C30" s="34"/>
      <c r="D30" s="34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34"/>
      <c r="AM30" s="34"/>
      <c r="AN30" s="34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  <c r="CS30" s="181"/>
      <c r="CT30" s="181"/>
      <c r="CU30" s="181"/>
      <c r="CV30" s="181"/>
      <c r="CW30" s="181"/>
      <c r="CX30" s="181"/>
      <c r="CY30" s="181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76"/>
      <c r="B31" s="30"/>
      <c r="C31" s="34"/>
      <c r="D31" s="34"/>
      <c r="E31" s="166" t="str">
        <f>IF(LEN(TRIM('4 доп.сведения'!B3))=0," ",'4 доп.сведения'!B3)</f>
        <v>Наименование ОПОП</v>
      </c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34"/>
      <c r="AM31" s="34"/>
      <c r="AN31" s="34"/>
      <c r="AO31" s="175" t="str">
        <f>IF(LEN(TRIM('4 доп.сведения'!C3))=0," ",'4 доп.сведения'!C3)</f>
        <v xml:space="preserve"> </v>
      </c>
      <c r="AP31" s="175"/>
      <c r="AQ31" s="175"/>
      <c r="AR31" s="175"/>
      <c r="AS31" s="175"/>
      <c r="AT31" s="175"/>
      <c r="AU31" s="175"/>
      <c r="AV31" s="175"/>
      <c r="AW31" s="175"/>
      <c r="AX31" s="175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181"/>
      <c r="CU31" s="181"/>
      <c r="CV31" s="181"/>
      <c r="CW31" s="181"/>
      <c r="CX31" s="181"/>
      <c r="CY31" s="181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76"/>
      <c r="B32" s="30"/>
      <c r="C32" s="34"/>
      <c r="D32" s="34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34"/>
      <c r="AM32" s="34"/>
      <c r="AN32" s="34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  <c r="CS32" s="181"/>
      <c r="CT32" s="181"/>
      <c r="CU32" s="181"/>
      <c r="CV32" s="181"/>
      <c r="CW32" s="181"/>
      <c r="CX32" s="181"/>
      <c r="CY32" s="181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76"/>
      <c r="B33" s="30"/>
      <c r="C33" s="34"/>
      <c r="D33" s="34"/>
      <c r="E33" s="166" t="str">
        <f>IF(LEN(TRIM('4 доп.сведения'!B4))=0," ",'4 доп.сведения'!B4)</f>
        <v>Форма обучения: очная</v>
      </c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34"/>
      <c r="AM33" s="34"/>
      <c r="AN33" s="34"/>
      <c r="AO33" s="175" t="str">
        <f>IF(LEN(TRIM('4 доп.сведения'!C4))=0," ",'4 доп.сведения'!C4)</f>
        <v xml:space="preserve"> </v>
      </c>
      <c r="AP33" s="175"/>
      <c r="AQ33" s="175"/>
      <c r="AR33" s="175"/>
      <c r="AS33" s="175"/>
      <c r="AT33" s="175"/>
      <c r="AU33" s="175"/>
      <c r="AV33" s="175"/>
      <c r="AW33" s="175"/>
      <c r="AX33" s="175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76"/>
      <c r="B34" s="30"/>
      <c r="C34" s="34"/>
      <c r="D34" s="34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34"/>
      <c r="AM34" s="34"/>
      <c r="AN34" s="34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76"/>
      <c r="B35" s="30"/>
      <c r="C35" s="34"/>
      <c r="D35" s="34"/>
      <c r="E35" s="166" t="str">
        <f>IF(LEN(TRIM('4 доп.сведения'!B5))=0," ",'4 доп.сведения'!B5)</f>
        <v xml:space="preserve"> </v>
      </c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34"/>
      <c r="AM35" s="34"/>
      <c r="AN35" s="34"/>
      <c r="AO35" s="175" t="str">
        <f>IF(LEN(TRIM('4 доп.сведения'!C5))=0," ",'4 доп.сведения'!C5)</f>
        <v xml:space="preserve"> </v>
      </c>
      <c r="AP35" s="175"/>
      <c r="AQ35" s="175"/>
      <c r="AR35" s="175"/>
      <c r="AS35" s="175"/>
      <c r="AT35" s="175"/>
      <c r="AU35" s="175"/>
      <c r="AV35" s="175"/>
      <c r="AW35" s="175"/>
      <c r="AX35" s="175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1" t="str">
        <f>'1 Обладатель диплома'!B5</f>
        <v>Отчество</v>
      </c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76"/>
      <c r="B36" s="30"/>
      <c r="C36" s="34"/>
      <c r="D36" s="34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34"/>
      <c r="AM36" s="34"/>
      <c r="AN36" s="34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1"/>
      <c r="CG36" s="181"/>
      <c r="CH36" s="181"/>
      <c r="CI36" s="181"/>
      <c r="CJ36" s="181"/>
      <c r="CK36" s="181"/>
      <c r="CL36" s="181"/>
      <c r="CM36" s="181"/>
      <c r="CN36" s="181"/>
      <c r="CO36" s="181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76"/>
      <c r="B37" s="30"/>
      <c r="C37" s="34"/>
      <c r="D37" s="34"/>
      <c r="E37" s="166" t="str">
        <f>IF(LEN(TRIM('4 доп.сведения'!B6))=0," ",'4 доп.сведения'!B6)</f>
        <v xml:space="preserve"> </v>
      </c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34"/>
      <c r="AM37" s="34"/>
      <c r="AN37" s="34"/>
      <c r="AO37" s="175" t="str">
        <f>IF(LEN(TRIM('4 доп.сведения'!C6))=0," ",'4 доп.сведения'!C6)</f>
        <v xml:space="preserve"> </v>
      </c>
      <c r="AP37" s="175"/>
      <c r="AQ37" s="175"/>
      <c r="AR37" s="175"/>
      <c r="AS37" s="175"/>
      <c r="AT37" s="175"/>
      <c r="AU37" s="175"/>
      <c r="AV37" s="175"/>
      <c r="AW37" s="175"/>
      <c r="AX37" s="175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76"/>
      <c r="B38" s="30"/>
      <c r="C38" s="34"/>
      <c r="D38" s="34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34"/>
      <c r="AM38" s="34"/>
      <c r="AN38" s="34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1"/>
      <c r="CG38" s="181"/>
      <c r="CH38" s="181"/>
      <c r="CI38" s="181"/>
      <c r="CJ38" s="181"/>
      <c r="CK38" s="181"/>
      <c r="CL38" s="181"/>
      <c r="CM38" s="181"/>
      <c r="CN38" s="181"/>
      <c r="CO38" s="181"/>
      <c r="CP38" s="181"/>
      <c r="CQ38" s="181"/>
      <c r="CR38" s="181"/>
      <c r="CS38" s="181"/>
      <c r="CT38" s="181"/>
      <c r="CU38" s="181"/>
      <c r="CV38" s="181"/>
      <c r="CW38" s="181"/>
      <c r="CX38" s="181"/>
      <c r="CY38" s="181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76"/>
      <c r="B39" s="30"/>
      <c r="C39" s="34"/>
      <c r="D39" s="34"/>
      <c r="E39" s="166" t="str">
        <f>IF(LEN(TRIM('4 доп.сведения'!B7))=0," ",'4 доп.сведения'!B7)</f>
        <v xml:space="preserve"> </v>
      </c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34"/>
      <c r="AM39" s="34"/>
      <c r="AN39" s="34"/>
      <c r="AO39" s="175" t="str">
        <f>IF(LEN(TRIM('4 доп.сведения'!C7))=0," ",'4 доп.сведения'!C7)</f>
        <v xml:space="preserve"> </v>
      </c>
      <c r="AP39" s="175"/>
      <c r="AQ39" s="175"/>
      <c r="AR39" s="175"/>
      <c r="AS39" s="175"/>
      <c r="AT39" s="175"/>
      <c r="AU39" s="175"/>
      <c r="AV39" s="175"/>
      <c r="AW39" s="175"/>
      <c r="AX39" s="175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1"/>
      <c r="CG39" s="181"/>
      <c r="CH39" s="181"/>
      <c r="CI39" s="181"/>
      <c r="CJ39" s="181"/>
      <c r="CK39" s="181"/>
      <c r="CL39" s="181"/>
      <c r="CM39" s="181"/>
      <c r="CN39" s="181"/>
      <c r="CO39" s="181"/>
      <c r="CP39" s="181"/>
      <c r="CQ39" s="181"/>
      <c r="CR39" s="181"/>
      <c r="CS39" s="181"/>
      <c r="CT39" s="181"/>
      <c r="CU39" s="181"/>
      <c r="CV39" s="181"/>
      <c r="CW39" s="181"/>
      <c r="CX39" s="181"/>
      <c r="CY39" s="181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76"/>
      <c r="B40" s="30"/>
      <c r="C40" s="34"/>
      <c r="D40" s="34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34"/>
      <c r="AM40" s="34"/>
      <c r="AN40" s="34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76"/>
      <c r="B41" s="30"/>
      <c r="C41" s="34"/>
      <c r="D41" s="34"/>
      <c r="E41" s="166" t="str">
        <f>IF(LEN(TRIM('4 доп.сведения'!B8))=0," ",'4 доп.сведения'!B8)</f>
        <v xml:space="preserve"> </v>
      </c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34"/>
      <c r="AM41" s="34"/>
      <c r="AN41" s="34"/>
      <c r="AO41" s="175" t="str">
        <f>IF(LEN(TRIM('4 доп.сведения'!C8))=0," ",'4 доп.сведения'!C8)</f>
        <v xml:space="preserve"> </v>
      </c>
      <c r="AP41" s="175"/>
      <c r="AQ41" s="175"/>
      <c r="AR41" s="175"/>
      <c r="AS41" s="175"/>
      <c r="AT41" s="175"/>
      <c r="AU41" s="175"/>
      <c r="AV41" s="175"/>
      <c r="AW41" s="175"/>
      <c r="AX41" s="175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76"/>
      <c r="B42" s="30"/>
      <c r="C42" s="34"/>
      <c r="D42" s="34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34"/>
      <c r="AM42" s="34"/>
      <c r="AN42" s="34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76"/>
      <c r="B43" s="30"/>
      <c r="C43" s="34"/>
      <c r="D43" s="34"/>
      <c r="E43" s="166" t="str">
        <f>IF(LEN(TRIM('4 доп.сведения'!B9))=0," ",'4 доп.сведения'!B9)</f>
        <v xml:space="preserve"> </v>
      </c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34"/>
      <c r="AM43" s="34"/>
      <c r="AN43" s="34"/>
      <c r="AO43" s="175" t="str">
        <f>IF(LEN(TRIM('4 доп.сведения'!C9))=0," ",'4 доп.сведения'!C9)</f>
        <v xml:space="preserve"> </v>
      </c>
      <c r="AP43" s="175"/>
      <c r="AQ43" s="175"/>
      <c r="AR43" s="175"/>
      <c r="AS43" s="175"/>
      <c r="AT43" s="175"/>
      <c r="AU43" s="175"/>
      <c r="AV43" s="175"/>
      <c r="AW43" s="175"/>
      <c r="AX43" s="175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76"/>
      <c r="B44" s="30"/>
      <c r="C44" s="34"/>
      <c r="D44" s="34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34"/>
      <c r="AM44" s="34"/>
      <c r="AN44" s="34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76"/>
      <c r="B45" s="30"/>
      <c r="C45" s="34"/>
      <c r="D45" s="34"/>
      <c r="E45" s="166" t="str">
        <f>IF(LEN(TRIM('4 доп.сведения'!B10))=0," ",'4 доп.сведения'!B10)</f>
        <v xml:space="preserve"> </v>
      </c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34"/>
      <c r="AM45" s="34"/>
      <c r="AN45" s="34"/>
      <c r="AO45" s="175" t="str">
        <f>IF(LEN(TRIM('4 доп.сведения'!C10))=0," ",'4 доп.сведения'!C10)</f>
        <v xml:space="preserve"> </v>
      </c>
      <c r="AP45" s="175"/>
      <c r="AQ45" s="175"/>
      <c r="AR45" s="175"/>
      <c r="AS45" s="175"/>
      <c r="AT45" s="175"/>
      <c r="AU45" s="175"/>
      <c r="AV45" s="175"/>
      <c r="AW45" s="175"/>
      <c r="AX45" s="175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76"/>
      <c r="B46" s="30"/>
      <c r="C46" s="34"/>
      <c r="D46" s="34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34"/>
      <c r="AM46" s="34"/>
      <c r="AN46" s="34"/>
      <c r="AO46" s="175"/>
      <c r="AP46" s="175"/>
      <c r="AQ46" s="175"/>
      <c r="AR46" s="175"/>
      <c r="AS46" s="175"/>
      <c r="AT46" s="175"/>
      <c r="AU46" s="175"/>
      <c r="AV46" s="175"/>
      <c r="AW46" s="175"/>
      <c r="AX46" s="175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76"/>
      <c r="B47" s="30"/>
      <c r="C47" s="34"/>
      <c r="D47" s="34"/>
      <c r="E47" s="166" t="str">
        <f>IF(LEN(TRIM('4 доп.сведения'!B11))=0," ",'4 доп.сведения'!B11)</f>
        <v xml:space="preserve"> </v>
      </c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34"/>
      <c r="AM47" s="34"/>
      <c r="AN47" s="34"/>
      <c r="AO47" s="175" t="str">
        <f>IF(LEN(TRIM('4 доп.сведения'!C11))=0," ",'4 доп.сведения'!C11)</f>
        <v xml:space="preserve"> </v>
      </c>
      <c r="AP47" s="175"/>
      <c r="AQ47" s="175"/>
      <c r="AR47" s="175"/>
      <c r="AS47" s="175"/>
      <c r="AT47" s="175"/>
      <c r="AU47" s="175"/>
      <c r="AV47" s="175"/>
      <c r="AW47" s="175"/>
      <c r="AX47" s="175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76"/>
      <c r="B48" s="30"/>
      <c r="C48" s="34"/>
      <c r="D48" s="34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34"/>
      <c r="AM48" s="34"/>
      <c r="AN48" s="34"/>
      <c r="AO48" s="175"/>
      <c r="AP48" s="175"/>
      <c r="AQ48" s="175"/>
      <c r="AR48" s="175"/>
      <c r="AS48" s="175"/>
      <c r="AT48" s="175"/>
      <c r="AU48" s="175"/>
      <c r="AV48" s="175"/>
      <c r="AW48" s="175"/>
      <c r="AX48" s="175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76"/>
      <c r="B49" s="30"/>
      <c r="C49" s="34"/>
      <c r="D49" s="34"/>
      <c r="E49" s="166" t="str">
        <f>IF(LEN(TRIM('4 доп.сведения'!B12))=0," ",'4 доп.сведения'!B12)</f>
        <v xml:space="preserve"> </v>
      </c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34"/>
      <c r="AM49" s="34"/>
      <c r="AN49" s="34"/>
      <c r="AO49" s="175" t="str">
        <f>IF(LEN(TRIM('4 доп.сведения'!C12))=0," ",'4 доп.сведения'!C12)</f>
        <v xml:space="preserve"> </v>
      </c>
      <c r="AP49" s="175"/>
      <c r="AQ49" s="175"/>
      <c r="AR49" s="175"/>
      <c r="AS49" s="175"/>
      <c r="AT49" s="175"/>
      <c r="AU49" s="175"/>
      <c r="AV49" s="175"/>
      <c r="AW49" s="175"/>
      <c r="AX49" s="175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76"/>
      <c r="B50" s="30"/>
      <c r="C50" s="34"/>
      <c r="D50" s="34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34"/>
      <c r="AM50" s="34"/>
      <c r="AN50" s="34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76"/>
      <c r="B51" s="30"/>
      <c r="C51" s="34"/>
      <c r="D51" s="34"/>
      <c r="E51" s="166" t="str">
        <f>IF(LEN(TRIM('4 доп.сведения'!B13))=0," ",'4 доп.сведения'!B13)</f>
        <v xml:space="preserve"> </v>
      </c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34"/>
      <c r="AM51" s="34"/>
      <c r="AN51" s="34"/>
      <c r="AO51" s="175" t="str">
        <f>IF(LEN(TRIM('4 доп.сведения'!C13))=0," ",'4 доп.сведения'!C13)</f>
        <v xml:space="preserve"> </v>
      </c>
      <c r="AP51" s="175"/>
      <c r="AQ51" s="175"/>
      <c r="AR51" s="175"/>
      <c r="AS51" s="175"/>
      <c r="AT51" s="175"/>
      <c r="AU51" s="175"/>
      <c r="AV51" s="175"/>
      <c r="AW51" s="175"/>
      <c r="AX51" s="175"/>
      <c r="AY51" s="30"/>
      <c r="AZ51" s="30"/>
      <c r="BA51" s="30"/>
      <c r="BB51" s="30"/>
      <c r="BC51" s="37"/>
      <c r="BD51" s="37"/>
      <c r="BE51" s="167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7"/>
      <c r="BG51" s="167"/>
      <c r="BH51" s="167"/>
      <c r="BI51" s="167"/>
      <c r="BJ51" s="167"/>
      <c r="BK51" s="167"/>
      <c r="BL51" s="167"/>
      <c r="BM51" s="167"/>
      <c r="BN51" s="167"/>
      <c r="BO51" s="167"/>
      <c r="BP51" s="167"/>
      <c r="BQ51" s="167"/>
      <c r="BR51" s="167"/>
      <c r="BS51" s="167"/>
      <c r="BT51" s="167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76"/>
      <c r="B52" s="30"/>
      <c r="C52" s="34"/>
      <c r="D52" s="34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34"/>
      <c r="AM52" s="34"/>
      <c r="AN52" s="34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30"/>
      <c r="AZ52" s="30"/>
      <c r="BA52" s="30"/>
      <c r="BB52" s="30"/>
      <c r="BC52" s="37"/>
      <c r="BD52" s="3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6" t="str">
        <f>IF(LEN(TRIM('4 доп.сведения'!B14))=0," ",'4 доп.сведения'!B14)</f>
        <v xml:space="preserve"> </v>
      </c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34"/>
      <c r="AM53" s="34"/>
      <c r="AN53" s="34"/>
      <c r="AO53" s="175" t="str">
        <f>IF(LEN(TRIM('4 доп.сведения'!C14))=0," ",'4 доп.сведения'!C14)</f>
        <v xml:space="preserve"> </v>
      </c>
      <c r="AP53" s="175"/>
      <c r="AQ53" s="175"/>
      <c r="AR53" s="175"/>
      <c r="AS53" s="175"/>
      <c r="AT53" s="175"/>
      <c r="AU53" s="175"/>
      <c r="AV53" s="175"/>
      <c r="AW53" s="175"/>
      <c r="AX53" s="175"/>
      <c r="AY53" s="30"/>
      <c r="AZ53" s="30"/>
      <c r="BA53" s="30"/>
      <c r="BB53" s="30"/>
      <c r="BC53" s="37"/>
      <c r="BD53" s="37"/>
      <c r="BE53" s="167"/>
      <c r="BF53" s="167"/>
      <c r="BG53" s="167"/>
      <c r="BH53" s="167"/>
      <c r="BI53" s="167"/>
      <c r="BJ53" s="167"/>
      <c r="BK53" s="167"/>
      <c r="BL53" s="167"/>
      <c r="BM53" s="167"/>
      <c r="BN53" s="167"/>
      <c r="BO53" s="167"/>
      <c r="BP53" s="167"/>
      <c r="BQ53" s="167"/>
      <c r="BR53" s="167"/>
      <c r="BS53" s="167"/>
      <c r="BT53" s="167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34"/>
      <c r="AM54" s="34"/>
      <c r="AN54" s="34"/>
      <c r="AO54" s="175"/>
      <c r="AP54" s="175"/>
      <c r="AQ54" s="175"/>
      <c r="AR54" s="175"/>
      <c r="AS54" s="175"/>
      <c r="AT54" s="175"/>
      <c r="AU54" s="175"/>
      <c r="AV54" s="175"/>
      <c r="AW54" s="175"/>
      <c r="AX54" s="175"/>
      <c r="AY54" s="30"/>
      <c r="AZ54" s="30"/>
      <c r="BA54" s="30"/>
      <c r="BB54" s="30"/>
      <c r="BC54" s="37"/>
      <c r="BD54" s="37"/>
      <c r="BE54" s="167"/>
      <c r="BF54" s="167"/>
      <c r="BG54" s="167"/>
      <c r="BH54" s="167"/>
      <c r="BI54" s="167"/>
      <c r="BJ54" s="167"/>
      <c r="BK54" s="167"/>
      <c r="BL54" s="167"/>
      <c r="BM54" s="167"/>
      <c r="BN54" s="167"/>
      <c r="BO54" s="167"/>
      <c r="BP54" s="167"/>
      <c r="BQ54" s="167"/>
      <c r="BR54" s="167"/>
      <c r="BS54" s="167"/>
      <c r="BT54" s="167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6" t="str">
        <f>IF(LEN(TRIM('4 доп.сведения'!B15))=0," ",'4 доп.сведения'!B15)</f>
        <v xml:space="preserve"> </v>
      </c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34"/>
      <c r="AM55" s="34"/>
      <c r="AN55" s="34"/>
      <c r="AO55" s="175" t="str">
        <f>IF(LEN(TRIM('4 доп.сведения'!C15))=0," ",'4 доп.сведения'!C15)</f>
        <v xml:space="preserve"> </v>
      </c>
      <c r="AP55" s="175"/>
      <c r="AQ55" s="175"/>
      <c r="AR55" s="175"/>
      <c r="AS55" s="175"/>
      <c r="AT55" s="175"/>
      <c r="AU55" s="175"/>
      <c r="AV55" s="175"/>
      <c r="AW55" s="175"/>
      <c r="AX55" s="175"/>
      <c r="AY55" s="30"/>
      <c r="AZ55" s="30"/>
      <c r="BA55" s="30"/>
      <c r="BB55" s="30"/>
      <c r="BC55" s="37"/>
      <c r="BD55" s="37"/>
      <c r="BE55" s="167"/>
      <c r="BF55" s="167"/>
      <c r="BG55" s="167"/>
      <c r="BH55" s="167"/>
      <c r="BI55" s="167"/>
      <c r="BJ55" s="167"/>
      <c r="BK55" s="167"/>
      <c r="BL55" s="167"/>
      <c r="BM55" s="167"/>
      <c r="BN55" s="167"/>
      <c r="BO55" s="167"/>
      <c r="BP55" s="167"/>
      <c r="BQ55" s="167"/>
      <c r="BR55" s="167"/>
      <c r="BS55" s="167"/>
      <c r="BT55" s="16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34"/>
      <c r="AM56" s="34"/>
      <c r="AN56" s="34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30"/>
      <c r="AZ56" s="30"/>
      <c r="BA56" s="30"/>
      <c r="BB56" s="30"/>
      <c r="BC56" s="37"/>
      <c r="BD56" s="37"/>
      <c r="BE56" s="167"/>
      <c r="BF56" s="167"/>
      <c r="BG56" s="167"/>
      <c r="BH56" s="167"/>
      <c r="BI56" s="167"/>
      <c r="BJ56" s="167"/>
      <c r="BK56" s="167"/>
      <c r="BL56" s="167"/>
      <c r="BM56" s="167"/>
      <c r="BN56" s="167"/>
      <c r="BO56" s="167"/>
      <c r="BP56" s="167"/>
      <c r="BQ56" s="167"/>
      <c r="BR56" s="167"/>
      <c r="BS56" s="167"/>
      <c r="BT56" s="167"/>
      <c r="BU56" s="37"/>
      <c r="BV56" s="37"/>
      <c r="BW56" s="177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77"/>
      <c r="CV56" s="177"/>
      <c r="CW56" s="177"/>
      <c r="CX56" s="177"/>
      <c r="CY56" s="177"/>
      <c r="CZ56" s="177"/>
      <c r="DA56" s="177"/>
      <c r="DB56" s="177"/>
      <c r="DC56" s="177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6" t="str">
        <f>IF(LEN(TRIM('4 доп.сведения'!B16))=0," ",'4 доп.сведения'!B16)</f>
        <v xml:space="preserve"> </v>
      </c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34"/>
      <c r="AM57" s="34"/>
      <c r="AN57" s="34"/>
      <c r="AO57" s="175" t="str">
        <f>IF(LEN(TRIM('4 доп.сведения'!C16))=0," ",'4 доп.сведения'!C16)</f>
        <v xml:space="preserve"> </v>
      </c>
      <c r="AP57" s="175"/>
      <c r="AQ57" s="175"/>
      <c r="AR57" s="175"/>
      <c r="AS57" s="175"/>
      <c r="AT57" s="175"/>
      <c r="AU57" s="175"/>
      <c r="AV57" s="175"/>
      <c r="AW57" s="175"/>
      <c r="AX57" s="175"/>
      <c r="AY57" s="30"/>
      <c r="AZ57" s="30"/>
      <c r="BA57" s="30"/>
      <c r="BB57" s="30"/>
      <c r="BC57" s="37"/>
      <c r="BD57" s="37"/>
      <c r="BE57" s="167"/>
      <c r="BF57" s="167"/>
      <c r="BG57" s="167"/>
      <c r="BH57" s="167"/>
      <c r="BI57" s="167"/>
      <c r="BJ57" s="167"/>
      <c r="BK57" s="167"/>
      <c r="BL57" s="167"/>
      <c r="BM57" s="167"/>
      <c r="BN57" s="167"/>
      <c r="BO57" s="167"/>
      <c r="BP57" s="167"/>
      <c r="BQ57" s="167"/>
      <c r="BR57" s="167"/>
      <c r="BS57" s="167"/>
      <c r="BT57" s="167"/>
      <c r="BU57" s="37"/>
      <c r="BV57" s="37"/>
      <c r="BW57" s="177"/>
      <c r="BX57" s="177"/>
      <c r="BY57" s="177"/>
      <c r="BZ57" s="177"/>
      <c r="CA57" s="177"/>
      <c r="CB57" s="177"/>
      <c r="CC57" s="177"/>
      <c r="CD57" s="177"/>
      <c r="CE57" s="177"/>
      <c r="CF57" s="177"/>
      <c r="CG57" s="177"/>
      <c r="CH57" s="177"/>
      <c r="CI57" s="177"/>
      <c r="CJ57" s="177"/>
      <c r="CK57" s="177"/>
      <c r="CL57" s="177"/>
      <c r="CM57" s="177"/>
      <c r="CN57" s="177"/>
      <c r="CO57" s="177"/>
      <c r="CP57" s="177"/>
      <c r="CQ57" s="177"/>
      <c r="CR57" s="177"/>
      <c r="CS57" s="177"/>
      <c r="CT57" s="177"/>
      <c r="CU57" s="177"/>
      <c r="CV57" s="177"/>
      <c r="CW57" s="177"/>
      <c r="CX57" s="177"/>
      <c r="CY57" s="177"/>
      <c r="CZ57" s="177"/>
      <c r="DA57" s="177"/>
      <c r="DB57" s="177"/>
      <c r="DC57" s="177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34"/>
      <c r="AM58" s="34"/>
      <c r="AN58" s="34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30"/>
      <c r="AZ58" s="30"/>
      <c r="BA58" s="30"/>
      <c r="BB58" s="30"/>
      <c r="BC58" s="37"/>
      <c r="BD58" s="3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7"/>
      <c r="BQ58" s="167"/>
      <c r="BR58" s="167"/>
      <c r="BS58" s="167"/>
      <c r="BT58" s="167"/>
      <c r="BU58" s="37"/>
      <c r="BV58" s="3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77"/>
      <c r="CV58" s="177"/>
      <c r="CW58" s="177"/>
      <c r="CX58" s="177"/>
      <c r="CY58" s="177"/>
      <c r="CZ58" s="177"/>
      <c r="DA58" s="177"/>
      <c r="DB58" s="177"/>
      <c r="DC58" s="177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6" t="str">
        <f>IF(LEN(TRIM('4 доп.сведения'!B17))=0," ",'4 доп.сведения'!B17)</f>
        <v xml:space="preserve"> </v>
      </c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34"/>
      <c r="AM59" s="34"/>
      <c r="AN59" s="34"/>
      <c r="AO59" s="175" t="str">
        <f>IF(LEN(TRIM('4 доп.сведения'!C17))=0," ",'4 доп.сведения'!C17)</f>
        <v xml:space="preserve"> </v>
      </c>
      <c r="AP59" s="175"/>
      <c r="AQ59" s="175"/>
      <c r="AR59" s="175"/>
      <c r="AS59" s="175"/>
      <c r="AT59" s="175"/>
      <c r="AU59" s="175"/>
      <c r="AV59" s="175"/>
      <c r="AW59" s="175"/>
      <c r="AX59" s="175"/>
      <c r="AY59" s="30"/>
      <c r="AZ59" s="30"/>
      <c r="BA59" s="30"/>
      <c r="BB59" s="30"/>
      <c r="BC59" s="37"/>
      <c r="BD59" s="37"/>
      <c r="BE59" s="167"/>
      <c r="BF59" s="167"/>
      <c r="BG59" s="167"/>
      <c r="BH59" s="167"/>
      <c r="BI59" s="167"/>
      <c r="BJ59" s="167"/>
      <c r="BK59" s="167"/>
      <c r="BL59" s="167"/>
      <c r="BM59" s="167"/>
      <c r="BN59" s="167"/>
      <c r="BO59" s="167"/>
      <c r="BP59" s="167"/>
      <c r="BQ59" s="167"/>
      <c r="BR59" s="167"/>
      <c r="BS59" s="167"/>
      <c r="BT59" s="167"/>
      <c r="BU59" s="37"/>
      <c r="BV59" s="3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77"/>
      <c r="CV59" s="177"/>
      <c r="CW59" s="177"/>
      <c r="CX59" s="177"/>
      <c r="CY59" s="177"/>
      <c r="CZ59" s="177"/>
      <c r="DA59" s="177"/>
      <c r="DB59" s="177"/>
      <c r="DC59" s="177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34"/>
      <c r="AM60" s="34"/>
      <c r="AN60" s="34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30"/>
      <c r="AZ60" s="30"/>
      <c r="BA60" s="30"/>
      <c r="BB60" s="30"/>
      <c r="BC60" s="37"/>
      <c r="BD60" s="37"/>
      <c r="BE60" s="167"/>
      <c r="BF60" s="167"/>
      <c r="BG60" s="167"/>
      <c r="BH60" s="167"/>
      <c r="BI60" s="167"/>
      <c r="BJ60" s="167"/>
      <c r="BK60" s="167"/>
      <c r="BL60" s="167"/>
      <c r="BM60" s="167"/>
      <c r="BN60" s="167"/>
      <c r="BO60" s="167"/>
      <c r="BP60" s="167"/>
      <c r="BQ60" s="167"/>
      <c r="BR60" s="167"/>
      <c r="BS60" s="167"/>
      <c r="BT60" s="167"/>
      <c r="BU60" s="37"/>
      <c r="BV60" s="37"/>
      <c r="BW60" s="177"/>
      <c r="BX60" s="177"/>
      <c r="BY60" s="177"/>
      <c r="BZ60" s="177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7"/>
      <c r="CU60" s="177"/>
      <c r="CV60" s="177"/>
      <c r="CW60" s="177"/>
      <c r="CX60" s="177"/>
      <c r="CY60" s="177"/>
      <c r="CZ60" s="177"/>
      <c r="DA60" s="177"/>
      <c r="DB60" s="177"/>
      <c r="DC60" s="177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6" t="str">
        <f>IF(LEN(TRIM('4 доп.сведения'!B18))=0," ",'4 доп.сведения'!B18)</f>
        <v xml:space="preserve"> </v>
      </c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34"/>
      <c r="AM61" s="34"/>
      <c r="AN61" s="34"/>
      <c r="AO61" s="175" t="str">
        <f>IF(LEN(TRIM('4 доп.сведения'!C18))=0," ",'4 доп.сведения'!C18)</f>
        <v xml:space="preserve"> </v>
      </c>
      <c r="AP61" s="175"/>
      <c r="AQ61" s="175"/>
      <c r="AR61" s="175"/>
      <c r="AS61" s="175"/>
      <c r="AT61" s="175"/>
      <c r="AU61" s="175"/>
      <c r="AV61" s="175"/>
      <c r="AW61" s="175"/>
      <c r="AX61" s="175"/>
      <c r="AY61" s="30"/>
      <c r="AZ61" s="30"/>
      <c r="BA61" s="30"/>
      <c r="BB61" s="30"/>
      <c r="BC61" s="37"/>
      <c r="BD61" s="37"/>
      <c r="BE61" s="167"/>
      <c r="BF61" s="167"/>
      <c r="BG61" s="167"/>
      <c r="BH61" s="167"/>
      <c r="BI61" s="167"/>
      <c r="BJ61" s="167"/>
      <c r="BK61" s="167"/>
      <c r="BL61" s="167"/>
      <c r="BM61" s="167"/>
      <c r="BN61" s="167"/>
      <c r="BO61" s="167"/>
      <c r="BP61" s="167"/>
      <c r="BQ61" s="167"/>
      <c r="BR61" s="167"/>
      <c r="BS61" s="167"/>
      <c r="BT61" s="167"/>
      <c r="BU61" s="37"/>
      <c r="BV61" s="37"/>
      <c r="BW61" s="177"/>
      <c r="BX61" s="177"/>
      <c r="BY61" s="177"/>
      <c r="BZ61" s="177"/>
      <c r="CA61" s="177"/>
      <c r="CB61" s="177"/>
      <c r="CC61" s="177"/>
      <c r="CD61" s="177"/>
      <c r="CE61" s="177"/>
      <c r="CF61" s="177"/>
      <c r="CG61" s="177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7"/>
      <c r="CS61" s="177"/>
      <c r="CT61" s="177"/>
      <c r="CU61" s="177"/>
      <c r="CV61" s="177"/>
      <c r="CW61" s="177"/>
      <c r="CX61" s="177"/>
      <c r="CY61" s="177"/>
      <c r="CZ61" s="177"/>
      <c r="DA61" s="177"/>
      <c r="DB61" s="177"/>
      <c r="DC61" s="177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34"/>
      <c r="AM62" s="34"/>
      <c r="AN62" s="34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30"/>
      <c r="AZ62" s="30"/>
      <c r="BA62" s="30"/>
      <c r="BB62" s="30"/>
      <c r="BC62" s="37"/>
      <c r="BD62" s="37"/>
      <c r="BE62" s="167"/>
      <c r="BF62" s="167"/>
      <c r="BG62" s="167"/>
      <c r="BH62" s="167"/>
      <c r="BI62" s="167"/>
      <c r="BJ62" s="167"/>
      <c r="BK62" s="167"/>
      <c r="BL62" s="167"/>
      <c r="BM62" s="167"/>
      <c r="BN62" s="167"/>
      <c r="BO62" s="167"/>
      <c r="BP62" s="167"/>
      <c r="BQ62" s="167"/>
      <c r="BR62" s="167"/>
      <c r="BS62" s="167"/>
      <c r="BT62" s="167"/>
      <c r="BU62" s="37"/>
      <c r="BV62" s="37"/>
      <c r="BW62" s="177"/>
      <c r="BX62" s="177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177"/>
      <c r="CY62" s="177"/>
      <c r="CZ62" s="177"/>
      <c r="DA62" s="177"/>
      <c r="DB62" s="177"/>
      <c r="DC62" s="177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6" t="str">
        <f>IF(LEN(TRIM('4 доп.сведения'!B19))=0," ",'4 доп.сведения'!B19)</f>
        <v xml:space="preserve"> </v>
      </c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34"/>
      <c r="AM63" s="34"/>
      <c r="AN63" s="34"/>
      <c r="AO63" s="175" t="str">
        <f>IF(LEN(TRIM('4 доп.сведения'!C19))=0," ",'4 доп.сведения'!C19)</f>
        <v xml:space="preserve"> </v>
      </c>
      <c r="AP63" s="175"/>
      <c r="AQ63" s="175"/>
      <c r="AR63" s="175"/>
      <c r="AS63" s="175"/>
      <c r="AT63" s="175"/>
      <c r="AU63" s="175"/>
      <c r="AV63" s="175"/>
      <c r="AW63" s="175"/>
      <c r="AX63" s="175"/>
      <c r="AY63" s="30"/>
      <c r="AZ63" s="30"/>
      <c r="BA63" s="30"/>
      <c r="BB63" s="30"/>
      <c r="BC63" s="37"/>
      <c r="BD63" s="3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37"/>
      <c r="BV63" s="37"/>
      <c r="BW63" s="177"/>
      <c r="BX63" s="177"/>
      <c r="BY63" s="177"/>
      <c r="BZ63" s="177"/>
      <c r="CA63" s="177"/>
      <c r="CB63" s="177"/>
      <c r="CC63" s="177"/>
      <c r="CD63" s="177"/>
      <c r="CE63" s="177"/>
      <c r="CF63" s="177"/>
      <c r="CG63" s="177"/>
      <c r="CH63" s="177"/>
      <c r="CI63" s="177"/>
      <c r="CJ63" s="177"/>
      <c r="CK63" s="177"/>
      <c r="CL63" s="177"/>
      <c r="CM63" s="177"/>
      <c r="CN63" s="177"/>
      <c r="CO63" s="177"/>
      <c r="CP63" s="177"/>
      <c r="CQ63" s="177"/>
      <c r="CR63" s="177"/>
      <c r="CS63" s="177"/>
      <c r="CT63" s="177"/>
      <c r="CU63" s="177"/>
      <c r="CV63" s="177"/>
      <c r="CW63" s="177"/>
      <c r="CX63" s="177"/>
      <c r="CY63" s="177"/>
      <c r="CZ63" s="177"/>
      <c r="DA63" s="177"/>
      <c r="DB63" s="177"/>
      <c r="DC63" s="177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34"/>
      <c r="AM64" s="34"/>
      <c r="AN64" s="34"/>
      <c r="AO64" s="175"/>
      <c r="AP64" s="175"/>
      <c r="AQ64" s="175"/>
      <c r="AR64" s="175"/>
      <c r="AS64" s="175"/>
      <c r="AT64" s="175"/>
      <c r="AU64" s="175"/>
      <c r="AV64" s="175"/>
      <c r="AW64" s="175"/>
      <c r="AX64" s="175"/>
      <c r="AY64" s="30"/>
      <c r="AZ64" s="30"/>
      <c r="BA64" s="30"/>
      <c r="BB64" s="30"/>
      <c r="BC64" s="37"/>
      <c r="BD64" s="37"/>
      <c r="BE64" s="167"/>
      <c r="BF64" s="167"/>
      <c r="BG64" s="167"/>
      <c r="BH64" s="167"/>
      <c r="BI64" s="167"/>
      <c r="BJ64" s="167"/>
      <c r="BK64" s="167"/>
      <c r="BL64" s="167"/>
      <c r="BM64" s="167"/>
      <c r="BN64" s="167"/>
      <c r="BO64" s="167"/>
      <c r="BP64" s="167"/>
      <c r="BQ64" s="167"/>
      <c r="BR64" s="167"/>
      <c r="BS64" s="167"/>
      <c r="BT64" s="167"/>
      <c r="BU64" s="37"/>
      <c r="BV64" s="3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77"/>
      <c r="CV64" s="177"/>
      <c r="CW64" s="177"/>
      <c r="CX64" s="177"/>
      <c r="CY64" s="177"/>
      <c r="CZ64" s="177"/>
      <c r="DA64" s="177"/>
      <c r="DB64" s="177"/>
      <c r="DC64" s="177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6" t="str">
        <f>IF(LEN(TRIM('4 доп.сведения'!B20))=0," ",'4 доп.сведения'!B20)</f>
        <v xml:space="preserve"> </v>
      </c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34"/>
      <c r="AM65" s="34"/>
      <c r="AN65" s="34"/>
      <c r="AO65" s="175" t="str">
        <f>IF(LEN(TRIM('4 доп.сведения'!C20))=0," ",'4 доп.сведения'!C20)</f>
        <v xml:space="preserve"> </v>
      </c>
      <c r="AP65" s="175"/>
      <c r="AQ65" s="175"/>
      <c r="AR65" s="175"/>
      <c r="AS65" s="175"/>
      <c r="AT65" s="175"/>
      <c r="AU65" s="175"/>
      <c r="AV65" s="175"/>
      <c r="AW65" s="175"/>
      <c r="AX65" s="175"/>
      <c r="AY65" s="30"/>
      <c r="AZ65" s="30"/>
      <c r="BA65" s="30"/>
      <c r="BB65" s="30"/>
      <c r="BC65" s="37"/>
      <c r="BD65" s="37"/>
      <c r="BE65" s="167"/>
      <c r="BF65" s="167"/>
      <c r="BG65" s="167"/>
      <c r="BH65" s="167"/>
      <c r="BI65" s="167"/>
      <c r="BJ65" s="167"/>
      <c r="BK65" s="167"/>
      <c r="BL65" s="167"/>
      <c r="BM65" s="167"/>
      <c r="BN65" s="167"/>
      <c r="BO65" s="167"/>
      <c r="BP65" s="167"/>
      <c r="BQ65" s="167"/>
      <c r="BR65" s="167"/>
      <c r="BS65" s="167"/>
      <c r="BT65" s="167"/>
      <c r="BU65" s="37"/>
      <c r="BV65" s="37"/>
      <c r="BW65" s="177"/>
      <c r="BX65" s="177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177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177"/>
      <c r="CY65" s="177"/>
      <c r="CZ65" s="177"/>
      <c r="DA65" s="177"/>
      <c r="DB65" s="177"/>
      <c r="DC65" s="177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34"/>
      <c r="AM66" s="34"/>
      <c r="AN66" s="34"/>
      <c r="AO66" s="175"/>
      <c r="AP66" s="175"/>
      <c r="AQ66" s="175"/>
      <c r="AR66" s="175"/>
      <c r="AS66" s="175"/>
      <c r="AT66" s="175"/>
      <c r="AU66" s="175"/>
      <c r="AV66" s="175"/>
      <c r="AW66" s="175"/>
      <c r="AX66" s="175"/>
      <c r="AY66" s="30"/>
      <c r="AZ66" s="30"/>
      <c r="BA66" s="30"/>
      <c r="BB66" s="30"/>
      <c r="BC66" s="37"/>
      <c r="BD66" s="37"/>
      <c r="BE66" s="167"/>
      <c r="BF66" s="167"/>
      <c r="BG66" s="167"/>
      <c r="BH66" s="167"/>
      <c r="BI66" s="167"/>
      <c r="BJ66" s="167"/>
      <c r="BK66" s="167"/>
      <c r="BL66" s="167"/>
      <c r="BM66" s="167"/>
      <c r="BN66" s="167"/>
      <c r="BO66" s="167"/>
      <c r="BP66" s="167"/>
      <c r="BQ66" s="167"/>
      <c r="BR66" s="167"/>
      <c r="BS66" s="167"/>
      <c r="BT66" s="167"/>
      <c r="BU66" s="37"/>
      <c r="BV66" s="3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177"/>
      <c r="CY66" s="177"/>
      <c r="CZ66" s="177"/>
      <c r="DA66" s="177"/>
      <c r="DB66" s="177"/>
      <c r="DC66" s="177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6" t="str">
        <f>IF(LEN(TRIM('4 доп.сведения'!B21))=0," ",'4 доп.сведения'!B21)</f>
        <v xml:space="preserve"> </v>
      </c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34"/>
      <c r="AM67" s="34"/>
      <c r="AN67" s="34"/>
      <c r="AO67" s="175" t="str">
        <f>IF(LEN(TRIM('4 доп.сведения'!C21))=0," ",'4 доп.сведения'!C21)</f>
        <v xml:space="preserve"> </v>
      </c>
      <c r="AP67" s="175"/>
      <c r="AQ67" s="175"/>
      <c r="AR67" s="175"/>
      <c r="AS67" s="175"/>
      <c r="AT67" s="175"/>
      <c r="AU67" s="175"/>
      <c r="AV67" s="175"/>
      <c r="AW67" s="175"/>
      <c r="AX67" s="175"/>
      <c r="AY67" s="30"/>
      <c r="AZ67" s="30"/>
      <c r="BA67" s="30"/>
      <c r="BB67" s="30"/>
      <c r="BC67" s="37"/>
      <c r="BD67" s="37"/>
      <c r="BE67" s="167"/>
      <c r="BF67" s="167"/>
      <c r="BG67" s="167"/>
      <c r="BH67" s="167"/>
      <c r="BI67" s="167"/>
      <c r="BJ67" s="167"/>
      <c r="BK67" s="167"/>
      <c r="BL67" s="167"/>
      <c r="BM67" s="167"/>
      <c r="BN67" s="167"/>
      <c r="BO67" s="167"/>
      <c r="BP67" s="167"/>
      <c r="BQ67" s="167"/>
      <c r="BR67" s="167"/>
      <c r="BS67" s="167"/>
      <c r="BT67" s="167"/>
      <c r="BU67" s="37"/>
      <c r="BV67" s="37"/>
      <c r="BW67" s="177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177"/>
      <c r="CY67" s="177"/>
      <c r="CZ67" s="177"/>
      <c r="DA67" s="177"/>
      <c r="DB67" s="177"/>
      <c r="DC67" s="177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34"/>
      <c r="AM68" s="34"/>
      <c r="AN68" s="34"/>
      <c r="AO68" s="175"/>
      <c r="AP68" s="175"/>
      <c r="AQ68" s="175"/>
      <c r="AR68" s="175"/>
      <c r="AS68" s="175"/>
      <c r="AT68" s="175"/>
      <c r="AU68" s="175"/>
      <c r="AV68" s="175"/>
      <c r="AW68" s="175"/>
      <c r="AX68" s="175"/>
      <c r="AY68" s="30"/>
      <c r="AZ68" s="30"/>
      <c r="BA68" s="30"/>
      <c r="BB68" s="30"/>
      <c r="BC68" s="37"/>
      <c r="BD68" s="37"/>
      <c r="BE68" s="167"/>
      <c r="BF68" s="167"/>
      <c r="BG68" s="167"/>
      <c r="BH68" s="167"/>
      <c r="BI68" s="167"/>
      <c r="BJ68" s="167"/>
      <c r="BK68" s="167"/>
      <c r="BL68" s="167"/>
      <c r="BM68" s="167"/>
      <c r="BN68" s="167"/>
      <c r="BO68" s="167"/>
      <c r="BP68" s="167"/>
      <c r="BQ68" s="167"/>
      <c r="BR68" s="167"/>
      <c r="BS68" s="167"/>
      <c r="BT68" s="167"/>
      <c r="BU68" s="37"/>
      <c r="BV68" s="37"/>
      <c r="BW68" s="177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77"/>
      <c r="CI68" s="177"/>
      <c r="CJ68" s="177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77"/>
      <c r="CV68" s="177"/>
      <c r="CW68" s="177"/>
      <c r="CX68" s="177"/>
      <c r="CY68" s="177"/>
      <c r="CZ68" s="177"/>
      <c r="DA68" s="177"/>
      <c r="DB68" s="177"/>
      <c r="DC68" s="177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6" t="str">
        <f>IF(LEN(TRIM('4 доп.сведения'!B22))=0," ",'4 доп.сведения'!B22)</f>
        <v xml:space="preserve"> </v>
      </c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34"/>
      <c r="AM69" s="34"/>
      <c r="AN69" s="34"/>
      <c r="AO69" s="175" t="str">
        <f>IF(LEN(TRIM('4 доп.сведения'!C22))=0," ",'4 доп.сведения'!C22)</f>
        <v xml:space="preserve"> </v>
      </c>
      <c r="AP69" s="175"/>
      <c r="AQ69" s="175"/>
      <c r="AR69" s="175"/>
      <c r="AS69" s="175"/>
      <c r="AT69" s="175"/>
      <c r="AU69" s="175"/>
      <c r="AV69" s="175"/>
      <c r="AW69" s="175"/>
      <c r="AX69" s="175"/>
      <c r="AY69" s="30"/>
      <c r="AZ69" s="30"/>
      <c r="BA69" s="30"/>
      <c r="BB69" s="30"/>
      <c r="BC69" s="37"/>
      <c r="BD69" s="37"/>
      <c r="BE69" s="167"/>
      <c r="BF69" s="167"/>
      <c r="BG69" s="167"/>
      <c r="BH69" s="167"/>
      <c r="BI69" s="167"/>
      <c r="BJ69" s="167"/>
      <c r="BK69" s="167"/>
      <c r="BL69" s="167"/>
      <c r="BM69" s="167"/>
      <c r="BN69" s="167"/>
      <c r="BO69" s="167"/>
      <c r="BP69" s="167"/>
      <c r="BQ69" s="167"/>
      <c r="BR69" s="167"/>
      <c r="BS69" s="167"/>
      <c r="BT69" s="167"/>
      <c r="BU69" s="37"/>
      <c r="BV69" s="37"/>
      <c r="BW69" s="177"/>
      <c r="BX69" s="177"/>
      <c r="BY69" s="177"/>
      <c r="BZ69" s="177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7"/>
      <c r="CU69" s="177"/>
      <c r="CV69" s="177"/>
      <c r="CW69" s="177"/>
      <c r="CX69" s="177"/>
      <c r="CY69" s="177"/>
      <c r="CZ69" s="177"/>
      <c r="DA69" s="177"/>
      <c r="DB69" s="177"/>
      <c r="DC69" s="177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34"/>
      <c r="AM70" s="34"/>
      <c r="AN70" s="34"/>
      <c r="AO70" s="175"/>
      <c r="AP70" s="175"/>
      <c r="AQ70" s="175"/>
      <c r="AR70" s="175"/>
      <c r="AS70" s="175"/>
      <c r="AT70" s="175"/>
      <c r="AU70" s="175"/>
      <c r="AV70" s="175"/>
      <c r="AW70" s="175"/>
      <c r="AX70" s="175"/>
      <c r="AY70" s="30"/>
      <c r="AZ70" s="30"/>
      <c r="BA70" s="30"/>
      <c r="BB70" s="30"/>
      <c r="BC70" s="37"/>
      <c r="BD70" s="3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7"/>
      <c r="BQ70" s="167"/>
      <c r="BR70" s="167"/>
      <c r="BS70" s="167"/>
      <c r="BT70" s="167"/>
      <c r="BU70" s="37"/>
      <c r="BV70" s="37"/>
      <c r="BW70" s="177"/>
      <c r="BX70" s="177"/>
      <c r="BY70" s="177"/>
      <c r="BZ70" s="177"/>
      <c r="CA70" s="177"/>
      <c r="CB70" s="177"/>
      <c r="CC70" s="177"/>
      <c r="CD70" s="177"/>
      <c r="CE70" s="177"/>
      <c r="CF70" s="177"/>
      <c r="CG70" s="177"/>
      <c r="CH70" s="177"/>
      <c r="CI70" s="177"/>
      <c r="CJ70" s="177"/>
      <c r="CK70" s="177"/>
      <c r="CL70" s="177"/>
      <c r="CM70" s="177"/>
      <c r="CN70" s="177"/>
      <c r="CO70" s="177"/>
      <c r="CP70" s="177"/>
      <c r="CQ70" s="177"/>
      <c r="CR70" s="177"/>
      <c r="CS70" s="177"/>
      <c r="CT70" s="177"/>
      <c r="CU70" s="177"/>
      <c r="CV70" s="177"/>
      <c r="CW70" s="177"/>
      <c r="CX70" s="177"/>
      <c r="CY70" s="177"/>
      <c r="CZ70" s="177"/>
      <c r="DA70" s="177"/>
      <c r="DB70" s="177"/>
      <c r="DC70" s="177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6" t="str">
        <f>IF(LEN(TRIM('4 доп.сведения'!B23))=0," ",'4 доп.сведения'!B23)</f>
        <v xml:space="preserve"> </v>
      </c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34"/>
      <c r="AM71" s="34"/>
      <c r="AN71" s="34"/>
      <c r="AO71" s="175" t="str">
        <f>IF(LEN(TRIM('4 доп.сведения'!C23))=0," ",'4 доп.сведения'!C23)</f>
        <v xml:space="preserve"> </v>
      </c>
      <c r="AP71" s="175"/>
      <c r="AQ71" s="175"/>
      <c r="AR71" s="175"/>
      <c r="AS71" s="175"/>
      <c r="AT71" s="175"/>
      <c r="AU71" s="175"/>
      <c r="AV71" s="175"/>
      <c r="AW71" s="175"/>
      <c r="AX71" s="175"/>
      <c r="AY71" s="30"/>
      <c r="AZ71" s="30"/>
      <c r="BA71" s="30"/>
      <c r="BB71" s="30"/>
      <c r="BC71" s="37"/>
      <c r="BD71" s="37"/>
      <c r="BE71" s="167"/>
      <c r="BF71" s="167"/>
      <c r="BG71" s="167"/>
      <c r="BH71" s="167"/>
      <c r="BI71" s="167"/>
      <c r="BJ71" s="167"/>
      <c r="BK71" s="167"/>
      <c r="BL71" s="167"/>
      <c r="BM71" s="167"/>
      <c r="BN71" s="167"/>
      <c r="BO71" s="167"/>
      <c r="BP71" s="167"/>
      <c r="BQ71" s="167"/>
      <c r="BR71" s="167"/>
      <c r="BS71" s="167"/>
      <c r="BT71" s="167"/>
      <c r="BU71" s="37"/>
      <c r="BV71" s="3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7"/>
      <c r="CS71" s="177"/>
      <c r="CT71" s="177"/>
      <c r="CU71" s="177"/>
      <c r="CV71" s="177"/>
      <c r="CW71" s="177"/>
      <c r="CX71" s="177"/>
      <c r="CY71" s="177"/>
      <c r="CZ71" s="177"/>
      <c r="DA71" s="177"/>
      <c r="DB71" s="177"/>
      <c r="DC71" s="177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34"/>
      <c r="AM72" s="34"/>
      <c r="AN72" s="34"/>
      <c r="AO72" s="175"/>
      <c r="AP72" s="175"/>
      <c r="AQ72" s="175"/>
      <c r="AR72" s="175"/>
      <c r="AS72" s="175"/>
      <c r="AT72" s="175"/>
      <c r="AU72" s="175"/>
      <c r="AV72" s="175"/>
      <c r="AW72" s="175"/>
      <c r="AX72" s="175"/>
      <c r="AY72" s="30"/>
      <c r="AZ72" s="30"/>
      <c r="BA72" s="30"/>
      <c r="BB72" s="30"/>
      <c r="BC72" s="37"/>
      <c r="BD72" s="3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37"/>
      <c r="BV72" s="37"/>
      <c r="BW72" s="177"/>
      <c r="BX72" s="177"/>
      <c r="BY72" s="177"/>
      <c r="BZ72" s="177"/>
      <c r="CA72" s="177"/>
      <c r="CB72" s="177"/>
      <c r="CC72" s="177"/>
      <c r="CD72" s="177"/>
      <c r="CE72" s="177"/>
      <c r="CF72" s="177"/>
      <c r="CG72" s="177"/>
      <c r="CH72" s="177"/>
      <c r="CI72" s="177"/>
      <c r="CJ72" s="177"/>
      <c r="CK72" s="177"/>
      <c r="CL72" s="177"/>
      <c r="CM72" s="177"/>
      <c r="CN72" s="177"/>
      <c r="CO72" s="177"/>
      <c r="CP72" s="177"/>
      <c r="CQ72" s="177"/>
      <c r="CR72" s="177"/>
      <c r="CS72" s="177"/>
      <c r="CT72" s="177"/>
      <c r="CU72" s="177"/>
      <c r="CV72" s="177"/>
      <c r="CW72" s="177"/>
      <c r="CX72" s="177"/>
      <c r="CY72" s="177"/>
      <c r="CZ72" s="177"/>
      <c r="DA72" s="177"/>
      <c r="DB72" s="177"/>
      <c r="DC72" s="177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6" t="str">
        <f>IF(LEN(TRIM('4 доп.сведения'!B24))=0," ",'4 доп.сведения'!B24)</f>
        <v xml:space="preserve"> </v>
      </c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34"/>
      <c r="AM73" s="34"/>
      <c r="AN73" s="34"/>
      <c r="AO73" s="175" t="str">
        <f>IF(LEN(TRIM('4 доп.сведения'!C24))=0," ",'4 доп.сведения'!C24)</f>
        <v xml:space="preserve"> </v>
      </c>
      <c r="AP73" s="175"/>
      <c r="AQ73" s="175"/>
      <c r="AR73" s="175"/>
      <c r="AS73" s="175"/>
      <c r="AT73" s="175"/>
      <c r="AU73" s="175"/>
      <c r="AV73" s="175"/>
      <c r="AW73" s="175"/>
      <c r="AX73" s="175"/>
      <c r="AY73" s="30"/>
      <c r="AZ73" s="30"/>
      <c r="BA73" s="30"/>
      <c r="BB73" s="30"/>
      <c r="BC73" s="37"/>
      <c r="BD73" s="3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38"/>
      <c r="BV73" s="38"/>
      <c r="BW73" s="177"/>
      <c r="BX73" s="177"/>
      <c r="BY73" s="177"/>
      <c r="BZ73" s="177"/>
      <c r="CA73" s="177"/>
      <c r="CB73" s="177"/>
      <c r="CC73" s="177"/>
      <c r="CD73" s="177"/>
      <c r="CE73" s="177"/>
      <c r="CF73" s="177"/>
      <c r="CG73" s="177"/>
      <c r="CH73" s="177"/>
      <c r="CI73" s="177"/>
      <c r="CJ73" s="177"/>
      <c r="CK73" s="177"/>
      <c r="CL73" s="177"/>
      <c r="CM73" s="177"/>
      <c r="CN73" s="177"/>
      <c r="CO73" s="177"/>
      <c r="CP73" s="177"/>
      <c r="CQ73" s="177"/>
      <c r="CR73" s="177"/>
      <c r="CS73" s="177"/>
      <c r="CT73" s="177"/>
      <c r="CU73" s="177"/>
      <c r="CV73" s="177"/>
      <c r="CW73" s="177"/>
      <c r="CX73" s="177"/>
      <c r="CY73" s="177"/>
      <c r="CZ73" s="177"/>
      <c r="DA73" s="177"/>
      <c r="DB73" s="177"/>
      <c r="DC73" s="177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34"/>
      <c r="AM74" s="34"/>
      <c r="AN74" s="34"/>
      <c r="AO74" s="175"/>
      <c r="AP74" s="175"/>
      <c r="AQ74" s="175"/>
      <c r="AR74" s="175"/>
      <c r="AS74" s="175"/>
      <c r="AT74" s="175"/>
      <c r="AU74" s="175"/>
      <c r="AV74" s="175"/>
      <c r="AW74" s="175"/>
      <c r="AX74" s="175"/>
      <c r="AY74" s="30"/>
      <c r="AZ74" s="30"/>
      <c r="BA74" s="30"/>
      <c r="BB74" s="30"/>
      <c r="BC74" s="37"/>
      <c r="BD74" s="3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6" t="str">
        <f>IF(LEN(TRIM('4 доп.сведения'!B25))=0," ",'4 доп.сведения'!B25)</f>
        <v xml:space="preserve"> </v>
      </c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34"/>
      <c r="AM75" s="34"/>
      <c r="AN75" s="34"/>
      <c r="AO75" s="175" t="str">
        <f>IF(LEN(TRIM('4 доп.сведения'!C25))=0," ",'4 доп.сведения'!C25)</f>
        <v xml:space="preserve"> </v>
      </c>
      <c r="AP75" s="175"/>
      <c r="AQ75" s="175"/>
      <c r="AR75" s="175"/>
      <c r="AS75" s="175"/>
      <c r="AT75" s="175"/>
      <c r="AU75" s="175"/>
      <c r="AV75" s="175"/>
      <c r="AW75" s="175"/>
      <c r="AX75" s="175"/>
      <c r="AY75" s="30"/>
      <c r="AZ75" s="30"/>
      <c r="BA75" s="30"/>
      <c r="BB75" s="30"/>
      <c r="BC75" s="37"/>
      <c r="BD75" s="3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34"/>
      <c r="AM76" s="34"/>
      <c r="AN76" s="34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30"/>
      <c r="AZ76" s="30"/>
      <c r="BA76" s="30"/>
      <c r="BB76" s="30"/>
      <c r="BC76" s="37"/>
      <c r="BD76" s="37"/>
      <c r="BE76" s="167"/>
      <c r="BF76" s="167"/>
      <c r="BG76" s="167"/>
      <c r="BH76" s="167"/>
      <c r="BI76" s="167"/>
      <c r="BJ76" s="167"/>
      <c r="BK76" s="167"/>
      <c r="BL76" s="167"/>
      <c r="BM76" s="167"/>
      <c r="BN76" s="167"/>
      <c r="BO76" s="167"/>
      <c r="BP76" s="167"/>
      <c r="BQ76" s="167"/>
      <c r="BR76" s="167"/>
      <c r="BS76" s="167"/>
      <c r="BT76" s="16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6" t="str">
        <f>IF(LEN(TRIM('4 доп.сведения'!B26))=0," ",'4 доп.сведения'!B26)</f>
        <v xml:space="preserve"> </v>
      </c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34"/>
      <c r="AM77" s="34"/>
      <c r="AN77" s="34"/>
      <c r="AO77" s="175" t="str">
        <f>IF(LEN(TRIM('4 доп.сведения'!C26))=0," ",'4 доп.сведения'!C26)</f>
        <v xml:space="preserve"> </v>
      </c>
      <c r="AP77" s="175"/>
      <c r="AQ77" s="175"/>
      <c r="AR77" s="175"/>
      <c r="AS77" s="175"/>
      <c r="AT77" s="175"/>
      <c r="AU77" s="175"/>
      <c r="AV77" s="175"/>
      <c r="AW77" s="175"/>
      <c r="AX77" s="175"/>
      <c r="AY77" s="30"/>
      <c r="AZ77" s="30"/>
      <c r="BA77" s="30"/>
      <c r="BB77" s="30"/>
      <c r="BC77" s="37"/>
      <c r="BD77" s="37"/>
      <c r="BE77" s="167"/>
      <c r="BF77" s="167"/>
      <c r="BG77" s="167"/>
      <c r="BH77" s="167"/>
      <c r="BI77" s="167"/>
      <c r="BJ77" s="167"/>
      <c r="BK77" s="167"/>
      <c r="BL77" s="167"/>
      <c r="BM77" s="167"/>
      <c r="BN77" s="167"/>
      <c r="BO77" s="167"/>
      <c r="BP77" s="167"/>
      <c r="BQ77" s="167"/>
      <c r="BR77" s="167"/>
      <c r="BS77" s="167"/>
      <c r="BT77" s="16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34"/>
      <c r="AM78" s="34"/>
      <c r="AN78" s="34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30"/>
      <c r="AZ78" s="30"/>
      <c r="BA78" s="30"/>
      <c r="BB78" s="30"/>
      <c r="BC78" s="37"/>
      <c r="BD78" s="37"/>
      <c r="BE78" s="167"/>
      <c r="BF78" s="167"/>
      <c r="BG78" s="167"/>
      <c r="BH78" s="167"/>
      <c r="BI78" s="167"/>
      <c r="BJ78" s="167"/>
      <c r="BK78" s="167"/>
      <c r="BL78" s="167"/>
      <c r="BM78" s="167"/>
      <c r="BN78" s="167"/>
      <c r="BO78" s="167"/>
      <c r="BP78" s="167"/>
      <c r="BQ78" s="167"/>
      <c r="BR78" s="167"/>
      <c r="BS78" s="167"/>
      <c r="BT78" s="16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6" t="str">
        <f>IF(LEN(TRIM('4 доп.сведения'!B27))=0," ",'4 доп.сведения'!B27)</f>
        <v xml:space="preserve"> </v>
      </c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34"/>
      <c r="AM79" s="34"/>
      <c r="AN79" s="34"/>
      <c r="AO79" s="175" t="str">
        <f>IF(LEN(TRIM('4 доп.сведения'!C27))=0," ",'4 доп.сведения'!C27)</f>
        <v xml:space="preserve"> </v>
      </c>
      <c r="AP79" s="175"/>
      <c r="AQ79" s="175"/>
      <c r="AR79" s="175"/>
      <c r="AS79" s="175"/>
      <c r="AT79" s="175"/>
      <c r="AU79" s="175"/>
      <c r="AV79" s="175"/>
      <c r="AW79" s="175"/>
      <c r="AX79" s="175"/>
      <c r="AY79" s="30"/>
      <c r="AZ79" s="30"/>
      <c r="BA79" s="30"/>
      <c r="BB79" s="30"/>
      <c r="BC79" s="40"/>
      <c r="BD79" s="40"/>
      <c r="BE79" s="167"/>
      <c r="BF79" s="167"/>
      <c r="BG79" s="167"/>
      <c r="BH79" s="167"/>
      <c r="BI79" s="167"/>
      <c r="BJ79" s="167"/>
      <c r="BK79" s="167"/>
      <c r="BL79" s="167"/>
      <c r="BM79" s="167"/>
      <c r="BN79" s="167"/>
      <c r="BO79" s="167"/>
      <c r="BP79" s="167"/>
      <c r="BQ79" s="167"/>
      <c r="BR79" s="167"/>
      <c r="BS79" s="167"/>
      <c r="BT79" s="167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34"/>
      <c r="AM80" s="34"/>
      <c r="AN80" s="34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30"/>
      <c r="AZ80" s="30"/>
      <c r="BA80" s="30"/>
      <c r="BB80" s="30"/>
      <c r="BC80" s="40"/>
      <c r="BD80" s="40"/>
      <c r="BE80" s="167"/>
      <c r="BF80" s="167"/>
      <c r="BG80" s="167"/>
      <c r="BH80" s="167"/>
      <c r="BI80" s="167"/>
      <c r="BJ80" s="167"/>
      <c r="BK80" s="167"/>
      <c r="BL80" s="167"/>
      <c r="BM80" s="167"/>
      <c r="BN80" s="167"/>
      <c r="BO80" s="167"/>
      <c r="BP80" s="167"/>
      <c r="BQ80" s="167"/>
      <c r="BR80" s="167"/>
      <c r="BS80" s="167"/>
      <c r="BT80" s="167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6" t="str">
        <f>IF(LEN(TRIM('4 доп.сведения'!B28))=0," ",'4 доп.сведения'!B28)</f>
        <v xml:space="preserve"> </v>
      </c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34"/>
      <c r="AM81" s="34"/>
      <c r="AN81" s="34"/>
      <c r="AO81" s="175" t="str">
        <f>IF(LEN(TRIM('4 доп.сведения'!C28))=0," ",'4 доп.сведения'!C28)</f>
        <v xml:space="preserve"> </v>
      </c>
      <c r="AP81" s="175"/>
      <c r="AQ81" s="175"/>
      <c r="AR81" s="175"/>
      <c r="AS81" s="175"/>
      <c r="AT81" s="175"/>
      <c r="AU81" s="175"/>
      <c r="AV81" s="175"/>
      <c r="AW81" s="175"/>
      <c r="AX81" s="175"/>
      <c r="AY81" s="30"/>
      <c r="AZ81" s="30"/>
      <c r="BA81" s="30"/>
      <c r="BB81" s="30"/>
      <c r="BC81" s="40"/>
      <c r="BD81" s="40"/>
      <c r="BE81" s="167"/>
      <c r="BF81" s="167"/>
      <c r="BG81" s="167"/>
      <c r="BH81" s="167"/>
      <c r="BI81" s="167"/>
      <c r="BJ81" s="167"/>
      <c r="BK81" s="167"/>
      <c r="BL81" s="167"/>
      <c r="BM81" s="167"/>
      <c r="BN81" s="167"/>
      <c r="BO81" s="167"/>
      <c r="BP81" s="167"/>
      <c r="BQ81" s="167"/>
      <c r="BR81" s="167"/>
      <c r="BS81" s="167"/>
      <c r="BT81" s="167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34"/>
      <c r="AM82" s="34"/>
      <c r="AN82" s="34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30"/>
      <c r="AZ82" s="30"/>
      <c r="BA82" s="30"/>
      <c r="BB82" s="30"/>
      <c r="BC82" s="40"/>
      <c r="BD82" s="40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7"/>
      <c r="BQ82" s="167"/>
      <c r="BR82" s="167"/>
      <c r="BS82" s="167"/>
      <c r="BT82" s="167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6" t="str">
        <f>IF(LEN(TRIM('4 доп.сведения'!B29))=0," ",'4 доп.сведения'!B29)</f>
        <v xml:space="preserve"> </v>
      </c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34"/>
      <c r="AM83" s="34"/>
      <c r="AN83" s="34"/>
      <c r="AO83" s="175" t="str">
        <f>IF(LEN(TRIM('4 доп.сведения'!C29))=0," ",'4 доп.сведения'!C29)</f>
        <v xml:space="preserve"> </v>
      </c>
      <c r="AP83" s="175"/>
      <c r="AQ83" s="175"/>
      <c r="AR83" s="175"/>
      <c r="AS83" s="175"/>
      <c r="AT83" s="175"/>
      <c r="AU83" s="175"/>
      <c r="AV83" s="175"/>
      <c r="AW83" s="175"/>
      <c r="AX83" s="175"/>
      <c r="AY83" s="30"/>
      <c r="AZ83" s="30"/>
      <c r="BA83" s="30"/>
      <c r="BB83" s="30"/>
      <c r="BC83" s="30"/>
      <c r="BD83" s="30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167"/>
      <c r="BQ83" s="167"/>
      <c r="BR83" s="167"/>
      <c r="BS83" s="167"/>
      <c r="BT83" s="167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34"/>
      <c r="AM84" s="34"/>
      <c r="AN84" s="34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/>
      <c r="AY84" s="30"/>
      <c r="AZ84" s="30"/>
      <c r="BA84" s="30"/>
      <c r="BB84" s="30"/>
      <c r="BC84" s="30"/>
      <c r="BD84" s="30"/>
      <c r="BE84" s="167"/>
      <c r="BF84" s="167"/>
      <c r="BG84" s="167"/>
      <c r="BH84" s="167"/>
      <c r="BI84" s="167"/>
      <c r="BJ84" s="167"/>
      <c r="BK84" s="167"/>
      <c r="BL84" s="167"/>
      <c r="BM84" s="167"/>
      <c r="BN84" s="167"/>
      <c r="BO84" s="167"/>
      <c r="BP84" s="167"/>
      <c r="BQ84" s="167"/>
      <c r="BR84" s="167"/>
      <c r="BS84" s="167"/>
      <c r="BT84" s="167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6" t="str">
        <f>IF(LEN(TRIM('4 доп.сведения'!B30))=0," ",'4 доп.сведения'!B30)</f>
        <v xml:space="preserve"> </v>
      </c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34"/>
      <c r="AM85" s="34"/>
      <c r="AN85" s="34"/>
      <c r="AO85" s="175" t="str">
        <f>IF(LEN(TRIM('4 доп.сведения'!C30))=0," ",'4 доп.сведения'!C30)</f>
        <v xml:space="preserve"> </v>
      </c>
      <c r="AP85" s="175"/>
      <c r="AQ85" s="175"/>
      <c r="AR85" s="175"/>
      <c r="AS85" s="175"/>
      <c r="AT85" s="175"/>
      <c r="AU85" s="175"/>
      <c r="AV85" s="175"/>
      <c r="AW85" s="175"/>
      <c r="AX85" s="175"/>
      <c r="AY85" s="30"/>
      <c r="AZ85" s="30"/>
      <c r="BA85" s="30"/>
      <c r="BB85" s="30"/>
      <c r="BC85" s="30"/>
      <c r="BD85" s="30"/>
      <c r="BE85" s="161" t="str">
        <f>Диплом!B3</f>
        <v>г Москва</v>
      </c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34"/>
      <c r="AM86" s="34"/>
      <c r="AN86" s="34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30"/>
      <c r="AZ86" s="30"/>
      <c r="BA86" s="30"/>
      <c r="BB86" s="30"/>
      <c r="BC86" s="30"/>
      <c r="BD86" s="30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6" t="str">
        <f>IF(LEN(TRIM('4 доп.сведения'!B31))=0," ",'4 доп.сведения'!B31)</f>
        <v xml:space="preserve"> </v>
      </c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34"/>
      <c r="AM87" s="34"/>
      <c r="AN87" s="34"/>
      <c r="AO87" s="175" t="str">
        <f>IF(LEN(TRIM('4 доп.сведения'!C31))=0," ",'4 доп.сведения'!C31)</f>
        <v xml:space="preserve"> </v>
      </c>
      <c r="AP87" s="175"/>
      <c r="AQ87" s="175"/>
      <c r="AR87" s="175"/>
      <c r="AS87" s="175"/>
      <c r="AT87" s="175"/>
      <c r="AU87" s="175"/>
      <c r="AV87" s="175"/>
      <c r="AW87" s="175"/>
      <c r="AX87" s="175"/>
      <c r="AY87" s="30"/>
      <c r="AZ87" s="30"/>
      <c r="BA87" s="30"/>
      <c r="BB87" s="30"/>
      <c r="BC87" s="30"/>
      <c r="BD87" s="30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34"/>
      <c r="AM88" s="34"/>
      <c r="AN88" s="34"/>
      <c r="AO88" s="175"/>
      <c r="AP88" s="175"/>
      <c r="AQ88" s="175"/>
      <c r="AR88" s="175"/>
      <c r="AS88" s="175"/>
      <c r="AT88" s="175"/>
      <c r="AU88" s="175"/>
      <c r="AV88" s="175"/>
      <c r="AW88" s="175"/>
      <c r="AX88" s="175"/>
      <c r="AY88" s="30"/>
      <c r="AZ88" s="30"/>
      <c r="BA88" s="30"/>
      <c r="BB88" s="30"/>
      <c r="BC88" s="30"/>
      <c r="BD88" s="30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6" t="str">
        <f>IF(LEN(TRIM('4 доп.сведения'!B32))=0," ",'4 доп.сведения'!B32)</f>
        <v xml:space="preserve"> </v>
      </c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34"/>
      <c r="AM89" s="34"/>
      <c r="AN89" s="34"/>
      <c r="AO89" s="175" t="str">
        <f>IF(LEN(TRIM('4 доп.сведения'!C32))=0," ",'4 доп.сведения'!C32)</f>
        <v xml:space="preserve"> </v>
      </c>
      <c r="AP89" s="175"/>
      <c r="AQ89" s="175"/>
      <c r="AR89" s="175"/>
      <c r="AS89" s="175"/>
      <c r="AT89" s="175"/>
      <c r="AU89" s="175"/>
      <c r="AV89" s="175"/>
      <c r="AW89" s="175"/>
      <c r="AX89" s="175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34"/>
      <c r="AM90" s="34"/>
      <c r="AN90" s="34"/>
      <c r="AO90" s="175"/>
      <c r="AP90" s="175"/>
      <c r="AQ90" s="175"/>
      <c r="AR90" s="175"/>
      <c r="AS90" s="175"/>
      <c r="AT90" s="175"/>
      <c r="AU90" s="175"/>
      <c r="AV90" s="175"/>
      <c r="AW90" s="175"/>
      <c r="AX90" s="175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1"/>
      <c r="BX90" s="161"/>
      <c r="BY90" s="161"/>
      <c r="BZ90" s="161"/>
      <c r="CA90" s="161"/>
      <c r="CB90" s="161"/>
      <c r="CC90" s="161"/>
      <c r="CD90" s="161"/>
      <c r="CE90" s="16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61"/>
      <c r="CV90" s="161"/>
      <c r="CW90" s="161"/>
      <c r="CX90" s="161"/>
      <c r="CY90" s="161"/>
      <c r="CZ90" s="161"/>
      <c r="DA90" s="161"/>
      <c r="DB90" s="161"/>
      <c r="DC90" s="161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6" t="str">
        <f>IF(LEN(TRIM('4 доп.сведения'!B33))=0," ",'4 доп.сведения'!B33)</f>
        <v xml:space="preserve"> </v>
      </c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34"/>
      <c r="AM91" s="34"/>
      <c r="AN91" s="34"/>
      <c r="AO91" s="175" t="str">
        <f>IF(LEN(TRIM('4 доп.сведения'!C33))=0," ",'4 доп.сведения'!C33)</f>
        <v xml:space="preserve"> </v>
      </c>
      <c r="AP91" s="175"/>
      <c r="AQ91" s="175"/>
      <c r="AR91" s="175"/>
      <c r="AS91" s="175"/>
      <c r="AT91" s="175"/>
      <c r="AU91" s="175"/>
      <c r="AV91" s="175"/>
      <c r="AW91" s="175"/>
      <c r="AX91" s="175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1"/>
      <c r="BX91" s="161"/>
      <c r="BY91" s="161"/>
      <c r="BZ91" s="161"/>
      <c r="CA91" s="161"/>
      <c r="CB91" s="161"/>
      <c r="CC91" s="161"/>
      <c r="CD91" s="161"/>
      <c r="CE91" s="16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61"/>
      <c r="CV91" s="161"/>
      <c r="CW91" s="161"/>
      <c r="CX91" s="161"/>
      <c r="CY91" s="161"/>
      <c r="CZ91" s="161"/>
      <c r="DA91" s="161"/>
      <c r="DB91" s="161"/>
      <c r="DC91" s="161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34"/>
      <c r="AM92" s="34"/>
      <c r="AN92" s="34"/>
      <c r="AO92" s="175"/>
      <c r="AP92" s="175"/>
      <c r="AQ92" s="175"/>
      <c r="AR92" s="175"/>
      <c r="AS92" s="175"/>
      <c r="AT92" s="175"/>
      <c r="AU92" s="175"/>
      <c r="AV92" s="175"/>
      <c r="AW92" s="175"/>
      <c r="AX92" s="175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1"/>
      <c r="BX92" s="161"/>
      <c r="BY92" s="161"/>
      <c r="BZ92" s="161"/>
      <c r="CA92" s="161"/>
      <c r="CB92" s="161"/>
      <c r="CC92" s="161"/>
      <c r="CD92" s="161"/>
      <c r="CE92" s="16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61"/>
      <c r="CV92" s="161"/>
      <c r="CW92" s="161"/>
      <c r="CX92" s="161"/>
      <c r="CY92" s="161"/>
      <c r="CZ92" s="161"/>
      <c r="DA92" s="161"/>
      <c r="DB92" s="161"/>
      <c r="DC92" s="161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6" t="str">
        <f>IF(LEN(TRIM('4 доп.сведения'!B34))=0," ",'4 доп.сведения'!B34)</f>
        <v xml:space="preserve"> </v>
      </c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34"/>
      <c r="AM93" s="34"/>
      <c r="AN93" s="34"/>
      <c r="AO93" s="175" t="str">
        <f>IF(LEN(TRIM('4 доп.сведения'!C34))=0," ",'4 доп.сведения'!C34)</f>
        <v xml:space="preserve"> </v>
      </c>
      <c r="AP93" s="175"/>
      <c r="AQ93" s="175"/>
      <c r="AR93" s="175"/>
      <c r="AS93" s="175"/>
      <c r="AT93" s="175"/>
      <c r="AU93" s="175"/>
      <c r="AV93" s="175"/>
      <c r="AW93" s="175"/>
      <c r="AX93" s="175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1"/>
      <c r="BX93" s="161"/>
      <c r="BY93" s="161"/>
      <c r="BZ93" s="161"/>
      <c r="CA93" s="161"/>
      <c r="CB93" s="161"/>
      <c r="CC93" s="161"/>
      <c r="CD93" s="161"/>
      <c r="CE93" s="16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61"/>
      <c r="CV93" s="161"/>
      <c r="CW93" s="161"/>
      <c r="CX93" s="161"/>
      <c r="CY93" s="161"/>
      <c r="CZ93" s="161"/>
      <c r="DA93" s="161"/>
      <c r="DB93" s="161"/>
      <c r="DC93" s="161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34"/>
      <c r="AM94" s="34"/>
      <c r="AN94" s="34"/>
      <c r="AO94" s="175"/>
      <c r="AP94" s="175"/>
      <c r="AQ94" s="175"/>
      <c r="AR94" s="175"/>
      <c r="AS94" s="175"/>
      <c r="AT94" s="175"/>
      <c r="AU94" s="175"/>
      <c r="AV94" s="175"/>
      <c r="AW94" s="175"/>
      <c r="AX94" s="175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1"/>
      <c r="BX94" s="161"/>
      <c r="BY94" s="161"/>
      <c r="BZ94" s="161"/>
      <c r="CA94" s="161"/>
      <c r="CB94" s="161"/>
      <c r="CC94" s="161"/>
      <c r="CD94" s="161"/>
      <c r="CE94" s="16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61"/>
      <c r="CV94" s="161"/>
      <c r="CW94" s="161"/>
      <c r="CX94" s="161"/>
      <c r="CY94" s="161"/>
      <c r="CZ94" s="161"/>
      <c r="DA94" s="161"/>
      <c r="DB94" s="161"/>
      <c r="DC94" s="161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6" t="str">
        <f>IF(LEN(TRIM('4 доп.сведения'!B35))=0," ",'4 доп.сведения'!B35)</f>
        <v xml:space="preserve"> </v>
      </c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34"/>
      <c r="AM95" s="34"/>
      <c r="AN95" s="34"/>
      <c r="AO95" s="175" t="str">
        <f>IF(LEN(TRIM('4 доп.сведения'!C35))=0," ",'4 доп.сведения'!C35)</f>
        <v xml:space="preserve"> </v>
      </c>
      <c r="AP95" s="175"/>
      <c r="AQ95" s="175"/>
      <c r="AR95" s="175"/>
      <c r="AS95" s="175"/>
      <c r="AT95" s="175"/>
      <c r="AU95" s="175"/>
      <c r="AV95" s="175"/>
      <c r="AW95" s="175"/>
      <c r="AX95" s="175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1"/>
      <c r="BX95" s="161"/>
      <c r="BY95" s="161"/>
      <c r="BZ95" s="161"/>
      <c r="CA95" s="161"/>
      <c r="CB95" s="161"/>
      <c r="CC95" s="161"/>
      <c r="CD95" s="161"/>
      <c r="CE95" s="16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61"/>
      <c r="CV95" s="161"/>
      <c r="CW95" s="161"/>
      <c r="CX95" s="161"/>
      <c r="CY95" s="161"/>
      <c r="CZ95" s="161"/>
      <c r="DA95" s="161"/>
      <c r="DB95" s="161"/>
      <c r="DC95" s="161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34"/>
      <c r="AM96" s="34"/>
      <c r="AN96" s="34"/>
      <c r="AO96" s="175"/>
      <c r="AP96" s="175"/>
      <c r="AQ96" s="175"/>
      <c r="AR96" s="175"/>
      <c r="AS96" s="175"/>
      <c r="AT96" s="175"/>
      <c r="AU96" s="175"/>
      <c r="AV96" s="175"/>
      <c r="AW96" s="175"/>
      <c r="AX96" s="175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  <c r="CO96" s="178"/>
      <c r="CP96" s="178"/>
      <c r="CQ96" s="178"/>
      <c r="CR96" s="178"/>
      <c r="CS96" s="178"/>
      <c r="CT96" s="178"/>
      <c r="CU96" s="178"/>
      <c r="CV96" s="178"/>
      <c r="CW96" s="178"/>
      <c r="CX96" s="178"/>
      <c r="CY96" s="178"/>
      <c r="CZ96" s="178"/>
      <c r="DA96" s="178"/>
      <c r="DB96" s="178"/>
      <c r="DC96" s="178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6" t="str">
        <f>IF(LEN(TRIM('4 доп.сведения'!B36))=0," ",'4 доп.сведения'!B36)</f>
        <v xml:space="preserve"> </v>
      </c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34"/>
      <c r="AM97" s="34"/>
      <c r="AN97" s="34"/>
      <c r="AO97" s="175" t="str">
        <f>IF(LEN(TRIM('4 доп.сведения'!C36))=0," ",'4 доп.сведения'!C36)</f>
        <v xml:space="preserve"> </v>
      </c>
      <c r="AP97" s="175"/>
      <c r="AQ97" s="175"/>
      <c r="AR97" s="175"/>
      <c r="AS97" s="175"/>
      <c r="AT97" s="175"/>
      <c r="AU97" s="175"/>
      <c r="AV97" s="175"/>
      <c r="AW97" s="175"/>
      <c r="AX97" s="175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34"/>
      <c r="AM98" s="34"/>
      <c r="AN98" s="34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  <c r="CO98" s="178"/>
      <c r="CP98" s="178"/>
      <c r="CQ98" s="178"/>
      <c r="CR98" s="178"/>
      <c r="CS98" s="178"/>
      <c r="CT98" s="178"/>
      <c r="CU98" s="178"/>
      <c r="CV98" s="178"/>
      <c r="CW98" s="178"/>
      <c r="CX98" s="178"/>
      <c r="CY98" s="178"/>
      <c r="CZ98" s="178"/>
      <c r="DA98" s="178"/>
      <c r="DB98" s="178"/>
      <c r="DC98" s="178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6" t="str">
        <f>IF(LEN(TRIM('4 доп.сведения'!B37))=0," ",'4 доп.сведения'!B37)</f>
        <v xml:space="preserve"> </v>
      </c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34"/>
      <c r="AM99" s="34"/>
      <c r="AN99" s="34"/>
      <c r="AO99" s="175" t="str">
        <f>IF(LEN(TRIM('4 доп.сведения'!C37))=0," ",'4 доп.сведения'!C37)</f>
        <v xml:space="preserve"> </v>
      </c>
      <c r="AP99" s="175"/>
      <c r="AQ99" s="175"/>
      <c r="AR99" s="175"/>
      <c r="AS99" s="175"/>
      <c r="AT99" s="175"/>
      <c r="AU99" s="175"/>
      <c r="AV99" s="175"/>
      <c r="AW99" s="175"/>
      <c r="AX99" s="175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  <c r="CO99" s="178"/>
      <c r="CP99" s="178"/>
      <c r="CQ99" s="178"/>
      <c r="CR99" s="178"/>
      <c r="CS99" s="178"/>
      <c r="CT99" s="178"/>
      <c r="CU99" s="178"/>
      <c r="CV99" s="178"/>
      <c r="CW99" s="178"/>
      <c r="CX99" s="178"/>
      <c r="CY99" s="178"/>
      <c r="CZ99" s="178"/>
      <c r="DA99" s="178"/>
      <c r="DB99" s="178"/>
      <c r="DC99" s="178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34"/>
      <c r="AM100" s="34"/>
      <c r="AN100" s="34"/>
      <c r="AO100" s="175"/>
      <c r="AP100" s="175"/>
      <c r="AQ100" s="175"/>
      <c r="AR100" s="175"/>
      <c r="AS100" s="175"/>
      <c r="AT100" s="175"/>
      <c r="AU100" s="175"/>
      <c r="AV100" s="175"/>
      <c r="AW100" s="175"/>
      <c r="AX100" s="175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  <c r="CO100" s="178"/>
      <c r="CP100" s="178"/>
      <c r="CQ100" s="178"/>
      <c r="CR100" s="178"/>
      <c r="CS100" s="178"/>
      <c r="CT100" s="178"/>
      <c r="CU100" s="178"/>
      <c r="CV100" s="178"/>
      <c r="CW100" s="178"/>
      <c r="CX100" s="178"/>
      <c r="CY100" s="178"/>
      <c r="CZ100" s="178"/>
      <c r="DA100" s="178"/>
      <c r="DB100" s="178"/>
      <c r="DC100" s="178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6" t="str">
        <f>IF(LEN(TRIM('4 доп.сведения'!B38))=0," ",'4 доп.сведения'!B38)</f>
        <v xml:space="preserve"> </v>
      </c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34"/>
      <c r="AM101" s="34"/>
      <c r="AN101" s="34"/>
      <c r="AO101" s="175" t="str">
        <f>IF(LEN(TRIM('4 доп.сведения'!C38))=0," ",'4 доп.сведения'!C38)</f>
        <v xml:space="preserve"> </v>
      </c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  <c r="CO101" s="178"/>
      <c r="CP101" s="178"/>
      <c r="CQ101" s="178"/>
      <c r="CR101" s="178"/>
      <c r="CS101" s="178"/>
      <c r="CT101" s="178"/>
      <c r="CU101" s="178"/>
      <c r="CV101" s="178"/>
      <c r="CW101" s="178"/>
      <c r="CX101" s="178"/>
      <c r="CY101" s="178"/>
      <c r="CZ101" s="178"/>
      <c r="DA101" s="178"/>
      <c r="DB101" s="178"/>
      <c r="DC101" s="178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34"/>
      <c r="AM102" s="34"/>
      <c r="AN102" s="34"/>
      <c r="AO102" s="175"/>
      <c r="AP102" s="175"/>
      <c r="AQ102" s="175"/>
      <c r="AR102" s="175"/>
      <c r="AS102" s="175"/>
      <c r="AT102" s="175"/>
      <c r="AU102" s="175"/>
      <c r="AV102" s="175"/>
      <c r="AW102" s="175"/>
      <c r="AX102" s="175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  <c r="CO102" s="178"/>
      <c r="CP102" s="178"/>
      <c r="CQ102" s="178"/>
      <c r="CR102" s="178"/>
      <c r="CS102" s="178"/>
      <c r="CT102" s="178"/>
      <c r="CU102" s="178"/>
      <c r="CV102" s="178"/>
      <c r="CW102" s="178"/>
      <c r="CX102" s="178"/>
      <c r="CY102" s="178"/>
      <c r="CZ102" s="178"/>
      <c r="DA102" s="178"/>
      <c r="DB102" s="178"/>
      <c r="DC102" s="178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6" t="str">
        <f>IF(LEN(TRIM('4 доп.сведения'!B39))=0," ",'4 доп.сведения'!B39)</f>
        <v xml:space="preserve"> </v>
      </c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34"/>
      <c r="AM103" s="34"/>
      <c r="AN103" s="34"/>
      <c r="AO103" s="175" t="str">
        <f>IF(LEN(TRIM('4 доп.сведения'!C39))=0," ",'4 доп.сведения'!C39)</f>
        <v xml:space="preserve"> </v>
      </c>
      <c r="AP103" s="175"/>
      <c r="AQ103" s="175"/>
      <c r="AR103" s="175"/>
      <c r="AS103" s="175"/>
      <c r="AT103" s="175"/>
      <c r="AU103" s="175"/>
      <c r="AV103" s="175"/>
      <c r="AW103" s="175"/>
      <c r="AX103" s="175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  <c r="CO103" s="178"/>
      <c r="CP103" s="178"/>
      <c r="CQ103" s="178"/>
      <c r="CR103" s="178"/>
      <c r="CS103" s="178"/>
      <c r="CT103" s="178"/>
      <c r="CU103" s="178"/>
      <c r="CV103" s="178"/>
      <c r="CW103" s="178"/>
      <c r="CX103" s="178"/>
      <c r="CY103" s="178"/>
      <c r="CZ103" s="178"/>
      <c r="DA103" s="178"/>
      <c r="DB103" s="178"/>
      <c r="DC103" s="178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34"/>
      <c r="AM104" s="34"/>
      <c r="AN104" s="34"/>
      <c r="AO104" s="175"/>
      <c r="AP104" s="175"/>
      <c r="AQ104" s="175"/>
      <c r="AR104" s="175"/>
      <c r="AS104" s="175"/>
      <c r="AT104" s="175"/>
      <c r="AU104" s="175"/>
      <c r="AV104" s="175"/>
      <c r="AW104" s="175"/>
      <c r="AX104" s="175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  <c r="CO104" s="178"/>
      <c r="CP104" s="178"/>
      <c r="CQ104" s="178"/>
      <c r="CR104" s="178"/>
      <c r="CS104" s="178"/>
      <c r="CT104" s="178"/>
      <c r="CU104" s="178"/>
      <c r="CV104" s="178"/>
      <c r="CW104" s="178"/>
      <c r="CX104" s="178"/>
      <c r="CY104" s="178"/>
      <c r="CZ104" s="178"/>
      <c r="DA104" s="178"/>
      <c r="DB104" s="178"/>
      <c r="DC104" s="178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6" t="str">
        <f>IF(LEN(TRIM('4 доп.сведения'!B40))=0," ",'4 доп.сведения'!B40)</f>
        <v xml:space="preserve"> </v>
      </c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34"/>
      <c r="AM105" s="34"/>
      <c r="AN105" s="34"/>
      <c r="AO105" s="175" t="str">
        <f>IF(LEN(TRIM('4 доп.сведения'!C40))=0," ",'4 доп.сведения'!C40)</f>
        <v xml:space="preserve"> </v>
      </c>
      <c r="AP105" s="175"/>
      <c r="AQ105" s="175"/>
      <c r="AR105" s="175"/>
      <c r="AS105" s="175"/>
      <c r="AT105" s="175"/>
      <c r="AU105" s="175"/>
      <c r="AV105" s="175"/>
      <c r="AW105" s="175"/>
      <c r="AX105" s="175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  <c r="CO105" s="178"/>
      <c r="CP105" s="178"/>
      <c r="CQ105" s="178"/>
      <c r="CR105" s="178"/>
      <c r="CS105" s="178"/>
      <c r="CT105" s="178"/>
      <c r="CU105" s="178"/>
      <c r="CV105" s="178"/>
      <c r="CW105" s="178"/>
      <c r="CX105" s="178"/>
      <c r="CY105" s="178"/>
      <c r="CZ105" s="178"/>
      <c r="DA105" s="178"/>
      <c r="DB105" s="178"/>
      <c r="DC105" s="178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34"/>
      <c r="AM106" s="34"/>
      <c r="AN106" s="34"/>
      <c r="AO106" s="175"/>
      <c r="AP106" s="175"/>
      <c r="AQ106" s="175"/>
      <c r="AR106" s="175"/>
      <c r="AS106" s="175"/>
      <c r="AT106" s="175"/>
      <c r="AU106" s="175"/>
      <c r="AV106" s="175"/>
      <c r="AW106" s="175"/>
      <c r="AX106" s="175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8" t="str">
        <f>IF(LEN(TRIM('1 Обладатель диплома'!B11))=0," ",'1 Обладатель диплома'!B11)</f>
        <v>Магистр</v>
      </c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  <c r="CO106" s="178"/>
      <c r="CP106" s="178"/>
      <c r="CQ106" s="178"/>
      <c r="CR106" s="178"/>
      <c r="CS106" s="178"/>
      <c r="CT106" s="178"/>
      <c r="CU106" s="178"/>
      <c r="CV106" s="178"/>
      <c r="CW106" s="178"/>
      <c r="CX106" s="178"/>
      <c r="CY106" s="178"/>
      <c r="CZ106" s="178"/>
      <c r="DA106" s="178"/>
      <c r="DB106" s="178"/>
      <c r="DC106" s="178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6" t="str">
        <f>IF(LEN(TRIM('4 доп.сведения'!B41))=0," ",'4 доп.сведения'!B41)</f>
        <v xml:space="preserve"> </v>
      </c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34"/>
      <c r="AM107" s="34"/>
      <c r="AN107" s="34"/>
      <c r="AO107" s="175" t="str">
        <f>IF(LEN(TRIM('4 доп.сведения'!C41))=0," ",'4 доп.сведения'!C41)</f>
        <v xml:space="preserve"> </v>
      </c>
      <c r="AP107" s="175"/>
      <c r="AQ107" s="175"/>
      <c r="AR107" s="175"/>
      <c r="AS107" s="175"/>
      <c r="AT107" s="175"/>
      <c r="AU107" s="175"/>
      <c r="AV107" s="175"/>
      <c r="AW107" s="175"/>
      <c r="AX107" s="175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  <c r="CO107" s="178"/>
      <c r="CP107" s="178"/>
      <c r="CQ107" s="178"/>
      <c r="CR107" s="178"/>
      <c r="CS107" s="178"/>
      <c r="CT107" s="178"/>
      <c r="CU107" s="178"/>
      <c r="CV107" s="178"/>
      <c r="CW107" s="178"/>
      <c r="CX107" s="178"/>
      <c r="CY107" s="178"/>
      <c r="CZ107" s="178"/>
      <c r="DA107" s="178"/>
      <c r="DB107" s="178"/>
      <c r="DC107" s="178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34"/>
      <c r="AM108" s="34"/>
      <c r="AN108" s="34"/>
      <c r="AO108" s="175"/>
      <c r="AP108" s="175"/>
      <c r="AQ108" s="175"/>
      <c r="AR108" s="175"/>
      <c r="AS108" s="175"/>
      <c r="AT108" s="175"/>
      <c r="AU108" s="175"/>
      <c r="AV108" s="175"/>
      <c r="AW108" s="175"/>
      <c r="AX108" s="175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  <c r="CO108" s="178"/>
      <c r="CP108" s="178"/>
      <c r="CQ108" s="178"/>
      <c r="CR108" s="178"/>
      <c r="CS108" s="178"/>
      <c r="CT108" s="178"/>
      <c r="CU108" s="178"/>
      <c r="CV108" s="178"/>
      <c r="CW108" s="178"/>
      <c r="CX108" s="178"/>
      <c r="CY108" s="178"/>
      <c r="CZ108" s="178"/>
      <c r="DA108" s="178"/>
      <c r="DB108" s="178"/>
      <c r="DC108" s="178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  <c r="CO109" s="178"/>
      <c r="CP109" s="178"/>
      <c r="CQ109" s="178"/>
      <c r="CR109" s="178"/>
      <c r="CS109" s="178"/>
      <c r="CT109" s="178"/>
      <c r="CU109" s="178"/>
      <c r="CV109" s="178"/>
      <c r="CW109" s="178"/>
      <c r="CX109" s="178"/>
      <c r="CY109" s="178"/>
      <c r="CZ109" s="178"/>
      <c r="DA109" s="178"/>
      <c r="DB109" s="178"/>
      <c r="DC109" s="178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8" t="str">
        <f>IF(LEN(TRIM('1 Обладатель диплома'!B14))=0," ",'1 Обладатель диплома'!B14)</f>
        <v>37.04.01 Психология</v>
      </c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  <c r="CO110" s="178"/>
      <c r="CP110" s="178"/>
      <c r="CQ110" s="178"/>
      <c r="CR110" s="178"/>
      <c r="CS110" s="178"/>
      <c r="CT110" s="178"/>
      <c r="CU110" s="178"/>
      <c r="CV110" s="178"/>
      <c r="CW110" s="178"/>
      <c r="CX110" s="178"/>
      <c r="CY110" s="178"/>
      <c r="CZ110" s="178"/>
      <c r="DA110" s="178"/>
      <c r="DB110" s="178"/>
      <c r="DC110" s="178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  <c r="CO111" s="178"/>
      <c r="CP111" s="178"/>
      <c r="CQ111" s="178"/>
      <c r="CR111" s="178"/>
      <c r="CS111" s="178"/>
      <c r="CT111" s="178"/>
      <c r="CU111" s="178"/>
      <c r="CV111" s="178"/>
      <c r="CW111" s="178"/>
      <c r="CX111" s="178"/>
      <c r="CY111" s="178"/>
      <c r="CZ111" s="178"/>
      <c r="DA111" s="178"/>
      <c r="DB111" s="178"/>
      <c r="DC111" s="178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178"/>
      <c r="CT112" s="178"/>
      <c r="CU112" s="178"/>
      <c r="CV112" s="178"/>
      <c r="CW112" s="178"/>
      <c r="CX112" s="178"/>
      <c r="CY112" s="178"/>
      <c r="CZ112" s="178"/>
      <c r="DA112" s="178"/>
      <c r="DB112" s="178"/>
      <c r="DC112" s="178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178"/>
      <c r="CT113" s="178"/>
      <c r="CU113" s="178"/>
      <c r="CV113" s="178"/>
      <c r="CW113" s="178"/>
      <c r="CX113" s="178"/>
      <c r="CY113" s="178"/>
      <c r="CZ113" s="178"/>
      <c r="DA113" s="178"/>
      <c r="DB113" s="178"/>
      <c r="DC113" s="178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178"/>
      <c r="CT114" s="178"/>
      <c r="CU114" s="178"/>
      <c r="CV114" s="178"/>
      <c r="CW114" s="178"/>
      <c r="CX114" s="178"/>
      <c r="CY114" s="178"/>
      <c r="CZ114" s="178"/>
      <c r="DA114" s="178"/>
      <c r="DB114" s="178"/>
      <c r="DC114" s="178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178"/>
      <c r="CT116" s="178"/>
      <c r="CU116" s="178"/>
      <c r="CV116" s="178"/>
      <c r="CW116" s="178"/>
      <c r="CX116" s="178"/>
      <c r="CY116" s="178"/>
      <c r="CZ116" s="178"/>
      <c r="DA116" s="178"/>
      <c r="DB116" s="178"/>
      <c r="DC116" s="178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6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6"/>
      <c r="AY117" s="166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178"/>
      <c r="CT117" s="178"/>
      <c r="CU117" s="178"/>
      <c r="CV117" s="178"/>
      <c r="CW117" s="178"/>
      <c r="CX117" s="178"/>
      <c r="CY117" s="178"/>
      <c r="CZ117" s="178"/>
      <c r="DA117" s="178"/>
      <c r="DB117" s="178"/>
      <c r="DC117" s="178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42"/>
      <c r="BA118" s="30"/>
      <c r="BB118" s="30"/>
      <c r="BC118" s="30"/>
      <c r="BD118" s="30"/>
      <c r="BE118" s="169" t="str">
        <f>IF(Диплом!B4 ="","",Диплом!B4)</f>
        <v/>
      </c>
      <c r="BF118" s="169"/>
      <c r="BG118" s="169"/>
      <c r="BH118" s="169"/>
      <c r="BI118" s="169"/>
      <c r="BJ118" s="169"/>
      <c r="BK118" s="169"/>
      <c r="BL118" s="169"/>
      <c r="BM118" s="169"/>
      <c r="BN118" s="169"/>
      <c r="BO118" s="169"/>
      <c r="BP118" s="169"/>
      <c r="BQ118" s="169"/>
      <c r="BR118" s="169"/>
      <c r="BS118" s="169"/>
      <c r="BT118" s="169"/>
      <c r="BU118" s="41"/>
      <c r="BV118" s="41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6" t="str">
        <f>IF(LEN(TRIM('5 Доп сведения'!C4))=0," ",'5 Доп сведения'!C4)</f>
        <v>Форма обучения: очная</v>
      </c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42"/>
      <c r="BA119" s="30"/>
      <c r="BB119" s="30"/>
      <c r="BC119" s="30"/>
      <c r="BD119" s="30"/>
      <c r="BE119" s="169"/>
      <c r="BF119" s="169"/>
      <c r="BG119" s="169"/>
      <c r="BH119" s="169"/>
      <c r="BI119" s="169"/>
      <c r="BJ119" s="169"/>
      <c r="BK119" s="169"/>
      <c r="BL119" s="169"/>
      <c r="BM119" s="169"/>
      <c r="BN119" s="169"/>
      <c r="BO119" s="169"/>
      <c r="BP119" s="169"/>
      <c r="BQ119" s="169"/>
      <c r="BR119" s="169"/>
      <c r="BS119" s="169"/>
      <c r="BT119" s="169"/>
      <c r="BU119" s="41"/>
      <c r="BV119" s="41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178"/>
      <c r="CT119" s="178"/>
      <c r="CU119" s="178"/>
      <c r="CV119" s="178"/>
      <c r="CW119" s="178"/>
      <c r="CX119" s="178"/>
      <c r="CY119" s="178"/>
      <c r="CZ119" s="178"/>
      <c r="DA119" s="178"/>
      <c r="DB119" s="178"/>
      <c r="DC119" s="178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42"/>
      <c r="BA120" s="30"/>
      <c r="BB120" s="30"/>
      <c r="BC120" s="30"/>
      <c r="BD120" s="30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41"/>
      <c r="BV120" s="41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178"/>
      <c r="CT120" s="178"/>
      <c r="CU120" s="178"/>
      <c r="CV120" s="178"/>
      <c r="CW120" s="178"/>
      <c r="CX120" s="178"/>
      <c r="CY120" s="178"/>
      <c r="CZ120" s="178"/>
      <c r="DA120" s="178"/>
      <c r="DB120" s="178"/>
      <c r="DC120" s="178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6" t="str">
        <f>IF(LEN(TRIM('5 Доп сведения'!C5))=0," ",'5 Доп сведения'!C5)</f>
        <v xml:space="preserve"> </v>
      </c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42"/>
      <c r="BA121" s="30"/>
      <c r="BB121" s="30"/>
      <c r="BC121" s="30"/>
      <c r="BD121" s="30"/>
      <c r="BE121" s="169"/>
      <c r="BF121" s="169"/>
      <c r="BG121" s="169"/>
      <c r="BH121" s="169"/>
      <c r="BI121" s="169"/>
      <c r="BJ121" s="169"/>
      <c r="BK121" s="169"/>
      <c r="BL121" s="169"/>
      <c r="BM121" s="169"/>
      <c r="BN121" s="169"/>
      <c r="BO121" s="169"/>
      <c r="BP121" s="169"/>
      <c r="BQ121" s="169"/>
      <c r="BR121" s="169"/>
      <c r="BS121" s="169"/>
      <c r="BT121" s="169"/>
      <c r="BU121" s="41"/>
      <c r="BV121" s="41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178"/>
      <c r="CT121" s="178"/>
      <c r="CU121" s="178"/>
      <c r="CV121" s="178"/>
      <c r="CW121" s="178"/>
      <c r="CX121" s="178"/>
      <c r="CY121" s="178"/>
      <c r="CZ121" s="178"/>
      <c r="DA121" s="178"/>
      <c r="DB121" s="178"/>
      <c r="DC121" s="178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178"/>
      <c r="CT122" s="178"/>
      <c r="CU122" s="178"/>
      <c r="CV122" s="178"/>
      <c r="CW122" s="178"/>
      <c r="CX122" s="178"/>
      <c r="CY122" s="178"/>
      <c r="CZ122" s="178"/>
      <c r="DA122" s="178"/>
      <c r="DB122" s="178"/>
      <c r="DC122" s="178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6" t="str">
        <f>IF(LEN(TRIM('5 Доп сведения'!C6))=0," ",'5 Доп сведения'!C6)</f>
        <v xml:space="preserve"> </v>
      </c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8"/>
      <c r="DA123" s="178"/>
      <c r="DB123" s="178"/>
      <c r="DC123" s="178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6"/>
      <c r="AX124" s="166"/>
      <c r="AY124" s="166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6" t="str">
        <f>IF(LEN(TRIM('5 Доп сведения'!C7))=0," ",'5 Доп сведения'!C7)</f>
        <v xml:space="preserve"> </v>
      </c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6" t="str">
        <f>IF(LEN(TRIM('5 Доп сведения'!C8))=0," ",'5 Доп сведения'!C8)</f>
        <v xml:space="preserve"> </v>
      </c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6"/>
      <c r="AY128" s="166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6" t="str">
        <f>IF(LEN(TRIM('5 Доп сведения'!C9))=0," ",'5 Доп сведения'!C9)</f>
        <v xml:space="preserve"> </v>
      </c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42"/>
      <c r="BA129" s="30"/>
      <c r="BB129" s="30"/>
      <c r="BC129" s="30"/>
      <c r="BD129" s="30"/>
      <c r="BE129" s="161" t="str">
        <f>Диплом!B5 &amp;" " &amp;Диплом!B6</f>
        <v>магистра с отличием</v>
      </c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42"/>
      <c r="BA130" s="30"/>
      <c r="BB130" s="30"/>
      <c r="BC130" s="30"/>
      <c r="BD130" s="30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6" t="str">
        <f>IF(LEN(TRIM('5 Доп сведения'!C10))=0," ",'5 Доп сведения'!C10)</f>
        <v xml:space="preserve"> </v>
      </c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44"/>
      <c r="BA131" s="30"/>
      <c r="BB131" s="30"/>
      <c r="BC131" s="30"/>
      <c r="BD131" s="30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6" t="str">
        <f>IF(LEN(TRIM('5 Доп сведения'!C11))=0," ",'5 Доп сведения'!C11)</f>
        <v xml:space="preserve"> </v>
      </c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6" t="str">
        <f>IF(LEN(TRIM('5 Доп сведения'!C12))=0," ",'5 Доп сведения'!C12)</f>
        <v xml:space="preserve"> </v>
      </c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30"/>
      <c r="BA136" s="30"/>
      <c r="BB136" s="30"/>
      <c r="BC136" s="40"/>
      <c r="BD136" s="40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6" t="str">
        <f>IF(LEN(TRIM('5 Доп сведения'!C13))=0," ",'5 Доп сведения'!C13)</f>
        <v xml:space="preserve"> </v>
      </c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30"/>
      <c r="BA137" s="30"/>
      <c r="BB137" s="30"/>
      <c r="BC137" s="40"/>
      <c r="BD137" s="40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30"/>
      <c r="BA138" s="30"/>
      <c r="BB138" s="30"/>
      <c r="BC138" s="40"/>
      <c r="BD138" s="40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0" t="str">
        <f>Диплом!B9</f>
        <v>А.А. Марголис</v>
      </c>
      <c r="AG148" s="180"/>
      <c r="AH148" s="180"/>
      <c r="AI148" s="180"/>
      <c r="AJ148" s="180"/>
      <c r="AK148" s="180"/>
      <c r="AL148" s="180"/>
      <c r="AM148" s="180"/>
      <c r="AN148" s="180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0"/>
      <c r="AG149" s="180"/>
      <c r="AH149" s="180"/>
      <c r="AI149" s="180"/>
      <c r="AJ149" s="180"/>
      <c r="AK149" s="180"/>
      <c r="AL149" s="180"/>
      <c r="AM149" s="180"/>
      <c r="AN149" s="180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0"/>
      <c r="AG150" s="180"/>
      <c r="AH150" s="180"/>
      <c r="AI150" s="180"/>
      <c r="AJ150" s="180"/>
      <c r="AK150" s="180"/>
      <c r="AL150" s="180"/>
      <c r="AM150" s="180"/>
      <c r="AN150" s="180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0"/>
      <c r="AG151" s="180"/>
      <c r="AH151" s="180"/>
      <c r="AI151" s="180"/>
      <c r="AJ151" s="180"/>
      <c r="AK151" s="180"/>
      <c r="AL151" s="180"/>
      <c r="AM151" s="180"/>
      <c r="AN151" s="180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1" t="str">
        <f>Диплом!B7</f>
        <v>XXXX/М24</v>
      </c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9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X156" s="169"/>
      <c r="BY156" s="169"/>
      <c r="BZ156" s="169"/>
      <c r="CA156" s="169"/>
      <c r="CB156" s="169"/>
      <c r="CC156" s="169"/>
      <c r="CD156" s="169"/>
      <c r="CE156" s="169"/>
      <c r="CF156" s="169"/>
      <c r="CG156" s="169"/>
      <c r="CH156" s="169"/>
      <c r="CI156" s="169"/>
      <c r="CJ156" s="169"/>
      <c r="CK156" s="169"/>
      <c r="CL156" s="169"/>
      <c r="CM156" s="169"/>
      <c r="CN156" s="169"/>
      <c r="CO156" s="169"/>
      <c r="CP156" s="169"/>
      <c r="CQ156" s="169"/>
      <c r="CR156" s="169"/>
      <c r="CS156" s="169"/>
      <c r="CT156" s="169"/>
      <c r="CU156" s="169"/>
      <c r="CV156" s="169"/>
      <c r="CW156" s="169"/>
      <c r="CX156" s="169"/>
      <c r="CY156" s="169"/>
      <c r="CZ156" s="169"/>
      <c r="DA156" s="169"/>
      <c r="DB156" s="169"/>
      <c r="DC156" s="169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9"/>
      <c r="BX157" s="169"/>
      <c r="BY157" s="169"/>
      <c r="BZ157" s="169"/>
      <c r="CA157" s="169"/>
      <c r="CB157" s="169"/>
      <c r="CC157" s="169"/>
      <c r="CD157" s="169"/>
      <c r="CE157" s="169"/>
      <c r="CF157" s="169"/>
      <c r="CG157" s="169"/>
      <c r="CH157" s="169"/>
      <c r="CI157" s="169"/>
      <c r="CJ157" s="169"/>
      <c r="CK157" s="169"/>
      <c r="CL157" s="169"/>
      <c r="CM157" s="169"/>
      <c r="CN157" s="169"/>
      <c r="CO157" s="169"/>
      <c r="CP157" s="169"/>
      <c r="CQ157" s="169"/>
      <c r="CR157" s="169"/>
      <c r="CS157" s="169"/>
      <c r="CT157" s="169"/>
      <c r="CU157" s="169"/>
      <c r="CV157" s="169"/>
      <c r="CW157" s="169"/>
      <c r="CX157" s="169"/>
      <c r="CY157" s="169"/>
      <c r="CZ157" s="169"/>
      <c r="DA157" s="169"/>
      <c r="DB157" s="169"/>
      <c r="DC157" s="169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9"/>
      <c r="BX158" s="169"/>
      <c r="BY158" s="169"/>
      <c r="BZ158" s="169"/>
      <c r="CA158" s="169"/>
      <c r="CB158" s="169"/>
      <c r="CC158" s="169"/>
      <c r="CD158" s="169"/>
      <c r="CE158" s="169"/>
      <c r="CF158" s="169"/>
      <c r="CG158" s="169"/>
      <c r="CH158" s="169"/>
      <c r="CI158" s="169"/>
      <c r="CJ158" s="169"/>
      <c r="CK158" s="169"/>
      <c r="CL158" s="169"/>
      <c r="CM158" s="169"/>
      <c r="CN158" s="169"/>
      <c r="CO158" s="169"/>
      <c r="CP158" s="169"/>
      <c r="CQ158" s="169"/>
      <c r="CR158" s="169"/>
      <c r="CS158" s="169"/>
      <c r="CT158" s="169"/>
      <c r="CU158" s="169"/>
      <c r="CV158" s="169"/>
      <c r="CW158" s="169"/>
      <c r="CX158" s="169"/>
      <c r="CY158" s="169"/>
      <c r="CZ158" s="169"/>
      <c r="DA158" s="169"/>
      <c r="DB158" s="169"/>
      <c r="DC158" s="169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9"/>
      <c r="BX159" s="169"/>
      <c r="BY159" s="169"/>
      <c r="BZ159" s="169"/>
      <c r="CA159" s="169"/>
      <c r="CB159" s="169"/>
      <c r="CC159" s="169"/>
      <c r="CD159" s="169"/>
      <c r="CE159" s="169"/>
      <c r="CF159" s="169"/>
      <c r="CG159" s="169"/>
      <c r="CH159" s="169"/>
      <c r="CI159" s="169"/>
      <c r="CJ159" s="169"/>
      <c r="CK159" s="169"/>
      <c r="CL159" s="169"/>
      <c r="CM159" s="169"/>
      <c r="CN159" s="169"/>
      <c r="CO159" s="169"/>
      <c r="CP159" s="169"/>
      <c r="CQ159" s="169"/>
      <c r="CR159" s="169"/>
      <c r="CS159" s="169"/>
      <c r="CT159" s="169"/>
      <c r="CU159" s="169"/>
      <c r="CV159" s="169"/>
      <c r="CW159" s="169"/>
      <c r="CX159" s="169"/>
      <c r="CY159" s="169"/>
      <c r="CZ159" s="169"/>
      <c r="DA159" s="169"/>
      <c r="DB159" s="169"/>
      <c r="DC159" s="169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9" t="str">
        <f>Диплом!B8</f>
        <v>XX июня 2024 года</v>
      </c>
      <c r="BF165" s="179"/>
      <c r="BG165" s="179"/>
      <c r="BH165" s="179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  <c r="BS165" s="179"/>
      <c r="BT165" s="179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  <c r="BS166" s="179"/>
      <c r="BT166" s="179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9"/>
      <c r="BF167" s="179"/>
      <c r="BG167" s="179"/>
      <c r="BH167" s="179"/>
      <c r="BI167" s="179"/>
      <c r="BJ167" s="179"/>
      <c r="BK167" s="179"/>
      <c r="BL167" s="179"/>
      <c r="BM167" s="179"/>
      <c r="BN167" s="179"/>
      <c r="BO167" s="179"/>
      <c r="BP167" s="179"/>
      <c r="BQ167" s="179"/>
      <c r="BR167" s="179"/>
      <c r="BS167" s="179"/>
      <c r="BT167" s="17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Дисицплина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оценка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оценка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оценка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??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оценка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оценка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??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оценка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оценка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>?? з.е.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оценка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??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оценка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??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оценка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оценка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??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оценка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оценка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??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оценка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оценка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??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оценка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оценка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??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оценка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оценка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??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оценка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??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оценка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??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оценка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??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оценка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??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оценка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оценка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??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оценка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??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оценка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??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оценка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??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оценка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??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оценка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оценка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??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оценка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??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оценка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оценка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??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оценка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??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оценка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??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оценка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??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оценка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??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оценка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??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оценка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??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оценка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??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оценка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??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оценка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??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оценка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??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оценка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??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оценка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??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оценка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??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оценка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??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оценка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??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оценка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??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оценка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??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оценка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??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оценка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??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оценка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??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оценка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??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оценка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??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оценка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??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оценка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??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оценка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??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оценка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??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оценка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??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оценка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??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оценка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??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оценка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??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оценка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??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оценка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??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оценка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??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оценка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??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оценка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??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оценка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??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оценка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??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оценка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??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оценка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??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оценка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??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оценка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??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оценка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??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оценка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??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оценка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Лицевая24</vt:lpstr>
      <vt:lpstr>Оборотная24</vt:lpstr>
      <vt:lpstr>Лицевая (2)</vt:lpstr>
      <vt:lpstr>Оборотная (2)</vt:lpstr>
      <vt:lpstr>Лицевая24!Область_печати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2024-05-23T14:51:50Z</dcterms:modified>
</cp:coreProperties>
</file>