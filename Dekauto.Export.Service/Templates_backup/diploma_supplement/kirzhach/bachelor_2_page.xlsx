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-120" yWindow="-120" windowWidth="19440" windowHeight="15600" tabRatio="755" activeTab="2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24" sheetId="15" r:id="rId6"/>
    <sheet name="Оборотная24" sheetId="10" r:id="rId7"/>
    <sheet name="Лицевая (2)" sheetId="14" state="hidden" r:id="rId8"/>
    <sheet name="Оборотная (2)" sheetId="13" state="hidden" r:id="rId9"/>
  </sheets>
  <definedNames>
    <definedName name="_xlnm.Print_Area" localSheetId="5">Лицевая24!$A$1:$DC$156</definedName>
  </definedNames>
  <calcPr calcId="162913" refMode="R1C1"/>
</workbook>
</file>

<file path=xl/calcChain.xml><?xml version="1.0" encoding="utf-8"?>
<calcChain xmlns="http://schemas.openxmlformats.org/spreadsheetml/2006/main"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40" i="10"/>
  <c r="AE41" i="10"/>
  <c r="AE42" i="10"/>
  <c r="AE43" i="10"/>
  <c r="AE44" i="10"/>
  <c r="AE45" i="10"/>
  <c r="AE46" i="10"/>
  <c r="AE47" i="10"/>
  <c r="AE48" i="10"/>
  <c r="AE49" i="10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85" i="15"/>
  <c r="C88" i="15"/>
  <c r="C19" i="15"/>
  <c r="C22" i="15"/>
  <c r="C25" i="15"/>
  <c r="C28" i="15"/>
  <c r="C31" i="15"/>
  <c r="C34" i="15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27" i="15"/>
  <c r="BW123" i="15"/>
  <c r="BW119" i="15"/>
  <c r="BE144" i="15"/>
  <c r="BV79" i="15"/>
  <c r="C40" i="15" l="1"/>
  <c r="C37" i="15"/>
  <c r="C16" i="15"/>
  <c r="BV147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AP92" i="15"/>
  <c r="D92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<sst xmlns="http://schemas.openxmlformats.org/spreadsheetml/2006/main" count="337" uniqueCount="176">
  <si>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</si>
  <si>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</si>
  <si>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</si>
  <si>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</si>
  <si>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</si>
  <si>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</si>
  <si>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</si>
  <si>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</si>
  <si>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</si>
  <si>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</si>
  <si>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</si>
  <si>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</si>
  <si>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</si>
  <si>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</si>
  <si>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</si>
  <si>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</si>
  <si>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</si>
  <si>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</si>
  <si>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</si>
  <si>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</si>
  <si>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</si>
  <si>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</si>
  <si>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</si>
  <si>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</si>
  <si>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</si>
  <si>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</si>
  <si>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</si>
  <si>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</si>
  <si>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</si>
  <si>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</si>
  <si>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</si>
  <si>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</si>
  <si>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</si>
  <si>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</si>
  <si>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</si>
  <si>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</si>
  <si>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</si>
  <si>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</si>
  <si>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</si>
  <si>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</si>
  <si>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</si>
  <si>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</si>
  <si>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</si>
  <si>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</si>
  <si>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</si>
  <si>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</si>
  <si>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</si>
  <si>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</si>
  <si>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</si>
  <si>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</si>
  <si>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</si>
  <si>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</si>
  <si>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</si>
  <si>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</si>
  <si>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</si>
  <si>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</si>
  <si>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</si>
  <si>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</si>
  <si>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3 з.е.</t>
  </si>
  <si>
    <t>зачтено</t>
  </si>
  <si>
    <t>2 з.е.</t>
  </si>
  <si>
    <t>4 з.е.</t>
  </si>
  <si>
    <t>6 з.е.</t>
  </si>
  <si>
    <t>отлично</t>
  </si>
  <si>
    <t>7 з.е.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</si>
  <si>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</si>
  <si>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</si>
  <si>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</si>
  <si>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</si>
  <si>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</si>
  <si>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</si>
  <si>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</si>
  <si>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 xml:space="preserve">2 з.е </t>
  </si>
  <si>
    <t>14 з.е.</t>
  </si>
  <si>
    <t>10 з.е.</t>
  </si>
  <si>
    <t>5 з.е.</t>
  </si>
  <si>
    <t>12 з.е.</t>
  </si>
  <si>
    <t>27 з.е.</t>
  </si>
  <si>
    <t>18 з.е.</t>
  </si>
  <si>
    <t>9  з.е.</t>
  </si>
  <si>
    <t>240 з.е.</t>
  </si>
  <si>
    <t>Повышение спортивного мастерства</t>
  </si>
  <si>
    <t>1 з.е.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</si>
  <si>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</si>
  <si>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</si>
  <si>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</si>
  <si>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</si>
  <si>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</si>
  <si>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</si>
  <si>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</si>
  <si>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</si>
  <si>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>526 ак. час.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</si>
  <si>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</si>
  <si>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</si>
  <si>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</si>
  <si>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</si>
  <si>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</si>
  <si>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</si>
  <si>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</si>
  <si>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</si>
  <si>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</si>
  <si>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</si>
  <si>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</si>
  <si>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</si>
  <si>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</si>
  <si>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</si>
  <si>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</si>
  <si>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</si>
  <si>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</si>
  <si>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</si>
  <si>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</si>
  <si>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</si>
  <si>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</si>
  <si>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</si>
  <si>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</si>
  <si>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</si>
  <si>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</si>
  <si>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</si>
  <si>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</si>
  <si>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</si>
  <si>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</si>
  <si>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</si>
  <si>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</si>
  <si>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</si>
  <si>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</si>
  <si>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</si>
  <si>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</si>
  <si>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</si>
  <si>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</si>
  <si>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</si>
  <si>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</si>
  <si>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</si>
  <si>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</si>
  <si>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</si>
  <si>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</si>
  <si>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</si>
  <si>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</si>
  <si>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</si>
  <si>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</si>
  <si>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</si>
  <si>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</si>
  <si>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</si>
  <si>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</si>
  <si>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</si>
  <si>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</si>
  <si>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</si>
  <si>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</si>
  <si>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</si>
  <si>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</si>
  <si>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</si>
  <si>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</si>
  <si>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</si>
  <si>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</si>
  <si>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</si>
  <si>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</si>
  <si>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</si>
  <si>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</si>
  <si>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</si>
  <si>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</si>
  <si>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</si>
  <si>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</si>
  <si>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</si>
  <si>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</si>
  <si>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</si>
  <si>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</si>
  <si>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</si>
  <si>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</si>
  <si>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</si>
  <si>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66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</si>
  <si>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</si>
  <si>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</si>
  <si>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</si>
  <si>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</si>
  <si>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</si>
  <si>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XX июня 2024 года</t>
  </si>
  <si>
    <t>XXXX/Б24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</si>
</sst>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7" sqref="B7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87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45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/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175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174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88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7" sqref="B7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101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/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/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/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/>
      <c r="C14" s="57"/>
      <c r="D14" s="57"/>
      <c r="E14" s="57"/>
      <c r="F14" s="3"/>
    </row>
    <row r="15" spans="1:6" x14ac:dyDescent="0.25">
      <c r="A15" s="56" t="s">
        <v>96</v>
      </c>
      <c r="B15" s="70"/>
      <c r="C15" s="154" t="s">
        <v>102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/>
      <c r="C17" s="59">
        <v>4</v>
      </c>
      <c r="D17" s="55"/>
      <c r="E17" s="55"/>
      <c r="F17" s="3"/>
    </row>
    <row r="18" spans="1:6" x14ac:dyDescent="0.25">
      <c r="A18" s="9" t="s">
        <v>21</v>
      </c>
      <c r="B18" s="69"/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abSelected="1" topLeftCell="A56" zoomScaleNormal="100" workbookViewId="0">
      <selection activeCell="A67" sqref="A67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97</v>
      </c>
      <c r="C1" s="74" t="s">
        <v>98</v>
      </c>
      <c r="D1" s="74" t="s">
        <v>24</v>
      </c>
      <c r="E1" s="72" t="s">
        <v>99</v>
      </c>
      <c r="F1" s="3"/>
    </row>
    <row r="2" spans="1:6" x14ac:dyDescent="0.25">
      <c r="A2" s="75">
        <v>1</v>
      </c>
      <c r="B2" s="51" t="s">
        <v>103</v>
      </c>
      <c r="C2" s="52" t="s">
        <v>58</v>
      </c>
      <c r="D2" s="51" t="s">
        <v>63</v>
      </c>
      <c r="E2" s="73">
        <f>LEN(B2)</f>
        <v>12</v>
      </c>
      <c r="F2" s="3"/>
    </row>
    <row r="3" spans="1:6" x14ac:dyDescent="0.25">
      <c r="A3" s="75">
        <v>2</v>
      </c>
      <c r="B3" s="51" t="s">
        <v>104</v>
      </c>
      <c r="C3" s="52" t="s">
        <v>58</v>
      </c>
      <c r="D3" s="51" t="s">
        <v>63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105</v>
      </c>
      <c r="C4" s="52" t="s">
        <v>72</v>
      </c>
      <c r="D4" s="51" t="s">
        <v>63</v>
      </c>
      <c r="E4" s="73">
        <f t="shared" si="0"/>
        <v>12</v>
      </c>
      <c r="F4" s="3"/>
    </row>
    <row r="5" spans="1:6" x14ac:dyDescent="0.25">
      <c r="A5" s="75">
        <v>4</v>
      </c>
      <c r="B5" s="51" t="s">
        <v>106</v>
      </c>
      <c r="C5" s="52" t="s">
        <v>60</v>
      </c>
      <c r="D5" s="51" t="s">
        <v>63</v>
      </c>
      <c r="E5" s="73">
        <f t="shared" si="0"/>
        <v>12</v>
      </c>
      <c r="F5" s="3"/>
    </row>
    <row r="6" spans="1:6" x14ac:dyDescent="0.25">
      <c r="A6" s="75">
        <v>5</v>
      </c>
      <c r="B6" s="51" t="s">
        <v>107</v>
      </c>
      <c r="C6" s="52" t="s">
        <v>58</v>
      </c>
      <c r="D6" s="51" t="s">
        <v>63</v>
      </c>
      <c r="E6" s="73">
        <f t="shared" si="0"/>
        <v>12</v>
      </c>
      <c r="F6" s="3"/>
    </row>
    <row r="7" spans="1:6" x14ac:dyDescent="0.25">
      <c r="A7" s="75">
        <v>6</v>
      </c>
      <c r="B7" s="51" t="s">
        <v>108</v>
      </c>
      <c r="C7" s="52" t="s">
        <v>60</v>
      </c>
      <c r="D7" s="51" t="s">
        <v>63</v>
      </c>
      <c r="E7" s="73">
        <f t="shared" si="0"/>
        <v>12</v>
      </c>
      <c r="F7" s="3"/>
    </row>
    <row r="8" spans="1:6" x14ac:dyDescent="0.25">
      <c r="A8" s="75">
        <v>7</v>
      </c>
      <c r="B8" s="51" t="s">
        <v>109</v>
      </c>
      <c r="C8" s="52" t="s">
        <v>73</v>
      </c>
      <c r="D8" s="51" t="s">
        <v>63</v>
      </c>
      <c r="E8" s="73">
        <f t="shared" si="0"/>
        <v>12</v>
      </c>
      <c r="F8" s="3"/>
    </row>
    <row r="9" spans="1:6" x14ac:dyDescent="0.25">
      <c r="A9" s="75">
        <v>8</v>
      </c>
      <c r="B9" s="51" t="s">
        <v>110</v>
      </c>
      <c r="C9" s="52" t="s">
        <v>60</v>
      </c>
      <c r="D9" s="51" t="s">
        <v>63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111</v>
      </c>
      <c r="C10" s="52" t="s">
        <v>60</v>
      </c>
      <c r="D10" s="51" t="s">
        <v>63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112</v>
      </c>
      <c r="C11" s="52" t="s">
        <v>60</v>
      </c>
      <c r="D11" s="51" t="s">
        <v>63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113</v>
      </c>
      <c r="C12" s="52" t="s">
        <v>60</v>
      </c>
      <c r="D12" s="51" t="s">
        <v>63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114</v>
      </c>
      <c r="C13" s="52" t="s">
        <v>58</v>
      </c>
      <c r="D13" s="51" t="s">
        <v>63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115</v>
      </c>
      <c r="C14" s="52" t="s">
        <v>58</v>
      </c>
      <c r="D14" s="51" t="s">
        <v>63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116</v>
      </c>
      <c r="C15" s="52" t="s">
        <v>60</v>
      </c>
      <c r="D15" s="51" t="s">
        <v>63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117</v>
      </c>
      <c r="C16" s="52" t="s">
        <v>61</v>
      </c>
      <c r="D16" s="51" t="s">
        <v>63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118</v>
      </c>
      <c r="C17" s="52" t="s">
        <v>74</v>
      </c>
      <c r="D17" s="51" t="s">
        <v>63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119</v>
      </c>
      <c r="C18" s="52" t="s">
        <v>61</v>
      </c>
      <c r="D18" s="51" t="s">
        <v>63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120</v>
      </c>
      <c r="C19" s="52" t="s">
        <v>61</v>
      </c>
      <c r="D19" s="51" t="s">
        <v>63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121</v>
      </c>
      <c r="C20" s="52" t="s">
        <v>58</v>
      </c>
      <c r="D20" s="51" t="s">
        <v>63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122</v>
      </c>
      <c r="C21" s="52" t="s">
        <v>62</v>
      </c>
      <c r="D21" s="51" t="s">
        <v>63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123</v>
      </c>
      <c r="C22" s="52" t="s">
        <v>60</v>
      </c>
      <c r="D22" s="51" t="s">
        <v>63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124</v>
      </c>
      <c r="C23" s="52" t="s">
        <v>62</v>
      </c>
      <c r="D23" s="51" t="s">
        <v>63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125</v>
      </c>
      <c r="C24" s="52" t="s">
        <v>75</v>
      </c>
      <c r="D24" s="51" t="s">
        <v>63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126</v>
      </c>
      <c r="C25" s="52" t="s">
        <v>61</v>
      </c>
      <c r="D25" s="51" t="s">
        <v>63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127</v>
      </c>
      <c r="C26" s="52" t="s">
        <v>58</v>
      </c>
      <c r="D26" s="51" t="s">
        <v>63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128</v>
      </c>
      <c r="C27" s="52" t="s">
        <v>64</v>
      </c>
      <c r="D27" s="51" t="s">
        <v>63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129</v>
      </c>
      <c r="C28" s="52" t="s">
        <v>64</v>
      </c>
      <c r="D28" s="51" t="s">
        <v>63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130</v>
      </c>
      <c r="C29" s="52" t="s">
        <v>76</v>
      </c>
      <c r="D29" s="51" t="s">
        <v>63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131</v>
      </c>
      <c r="C30" s="52" t="s">
        <v>62</v>
      </c>
      <c r="D30" s="51" t="s">
        <v>63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132</v>
      </c>
      <c r="C31" s="52" t="s">
        <v>58</v>
      </c>
      <c r="D31" s="51" t="s">
        <v>63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133</v>
      </c>
      <c r="C32" s="52" t="s">
        <v>58</v>
      </c>
      <c r="D32" s="51" t="s">
        <v>63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134</v>
      </c>
      <c r="C33" s="52" t="s">
        <v>58</v>
      </c>
      <c r="D33" s="51" t="s">
        <v>63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135</v>
      </c>
      <c r="C34" s="52" t="s">
        <v>58</v>
      </c>
      <c r="D34" s="51" t="s">
        <v>63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136</v>
      </c>
      <c r="C35" s="52" t="s">
        <v>58</v>
      </c>
      <c r="D35" s="51" t="s">
        <v>63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137</v>
      </c>
      <c r="C36" s="52" t="s">
        <v>58</v>
      </c>
      <c r="D36" s="51" t="s">
        <v>63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138</v>
      </c>
      <c r="C37" s="52" t="s">
        <v>58</v>
      </c>
      <c r="D37" s="51" t="s">
        <v>63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139</v>
      </c>
      <c r="C38" s="52" t="s">
        <v>58</v>
      </c>
      <c r="D38" s="51" t="s">
        <v>63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140</v>
      </c>
      <c r="C39" s="52" t="s">
        <v>58</v>
      </c>
      <c r="D39" s="51" t="s">
        <v>63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141</v>
      </c>
      <c r="C40" s="52" t="s">
        <v>58</v>
      </c>
      <c r="D40" s="51" t="s">
        <v>63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142</v>
      </c>
      <c r="C41" s="52" t="s">
        <v>58</v>
      </c>
      <c r="D41" s="51" t="s">
        <v>63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143</v>
      </c>
      <c r="C42" s="52" t="s">
        <v>58</v>
      </c>
      <c r="D42" s="51" t="s">
        <v>63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144</v>
      </c>
      <c r="C43" s="52" t="s">
        <v>58</v>
      </c>
      <c r="D43" s="51" t="s">
        <v>63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145</v>
      </c>
      <c r="C44" s="52" t="s">
        <v>58</v>
      </c>
      <c r="D44" s="51" t="s">
        <v>63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146</v>
      </c>
      <c r="C45" s="52" t="s">
        <v>58</v>
      </c>
      <c r="D45" s="51" t="s">
        <v>63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147</v>
      </c>
      <c r="C46" s="52" t="s">
        <v>58</v>
      </c>
      <c r="D46" s="51" t="s">
        <v>63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148</v>
      </c>
      <c r="C47" s="52" t="s">
        <v>58</v>
      </c>
      <c r="D47" s="51" t="s">
        <v>63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149</v>
      </c>
      <c r="C48" s="52" t="s">
        <v>58</v>
      </c>
      <c r="D48" s="51" t="s">
        <v>63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150</v>
      </c>
      <c r="C49" s="52" t="s">
        <v>58</v>
      </c>
      <c r="D49" s="51" t="s">
        <v>63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151</v>
      </c>
      <c r="C50" s="52" t="s">
        <v>58</v>
      </c>
      <c r="D50" s="51" t="s">
        <v>63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152</v>
      </c>
      <c r="C51" s="52" t="s">
        <v>58</v>
      </c>
      <c r="D51" s="51" t="s">
        <v>63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153</v>
      </c>
      <c r="C52" s="52" t="s">
        <v>58</v>
      </c>
      <c r="D52" s="51" t="s">
        <v>63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154</v>
      </c>
      <c r="C53" s="52" t="s">
        <v>58</v>
      </c>
      <c r="D53" s="51" t="s">
        <v>63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155</v>
      </c>
      <c r="C54" s="52" t="s">
        <v>58</v>
      </c>
      <c r="D54" s="51" t="s">
        <v>63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156</v>
      </c>
      <c r="C55" s="52" t="s">
        <v>58</v>
      </c>
      <c r="D55" s="51" t="s">
        <v>63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157</v>
      </c>
      <c r="C56" s="52" t="s">
        <v>58</v>
      </c>
      <c r="D56" s="51" t="s">
        <v>63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158</v>
      </c>
      <c r="C57" s="52" t="s">
        <v>58</v>
      </c>
      <c r="D57" s="51" t="s">
        <v>63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159</v>
      </c>
      <c r="C58" s="52" t="s">
        <v>58</v>
      </c>
      <c r="D58" s="51" t="s">
        <v>63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160</v>
      </c>
      <c r="C59" s="52" t="s">
        <v>58</v>
      </c>
      <c r="D59" s="51" t="s">
        <v>63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161</v>
      </c>
      <c r="C60" s="52" t="s">
        <v>58</v>
      </c>
      <c r="D60" s="51" t="s">
        <v>63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162</v>
      </c>
      <c r="C61" s="52" t="s">
        <v>58</v>
      </c>
      <c r="D61" s="51" t="s">
        <v>63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163</v>
      </c>
      <c r="C62" s="52" t="s">
        <v>58</v>
      </c>
      <c r="D62" s="51" t="s">
        <v>63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164</v>
      </c>
      <c r="C63" s="52" t="s">
        <v>58</v>
      </c>
      <c r="D63" s="51" t="s">
        <v>63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165</v>
      </c>
      <c r="C64" s="52" t="s">
        <v>58</v>
      </c>
      <c r="D64" s="51" t="s">
        <v>63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166</v>
      </c>
      <c r="C65" s="52" t="s">
        <v>58</v>
      </c>
      <c r="D65" s="51" t="s">
        <v>63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167</v>
      </c>
      <c r="C66" s="52" t="s">
        <v>58</v>
      </c>
      <c r="D66" s="51" t="s">
        <v>63</v>
      </c>
      <c r="E66" s="73">
        <f t="shared" si="0"/>
        <v>13</v>
      </c>
      <c r="F66" s="21" t="s">
        <v>33</v>
      </c>
    </row>
    <row r="67" spans="1:6" x14ac:dyDescent="0.25">
      <c r="A67" s="74">
        <v>66</v>
      </c>
      <c r="B67" s="51" t="s">
        <v>168</v>
      </c>
      <c r="C67" s="52" t="s">
        <v>58</v>
      </c>
      <c r="D67" s="51" t="s">
        <v>63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169</v>
      </c>
      <c r="C68" s="52" t="s">
        <v>58</v>
      </c>
      <c r="D68" s="51" t="s">
        <v>63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170</v>
      </c>
      <c r="C69" s="52" t="s">
        <v>58</v>
      </c>
      <c r="D69" s="51" t="s">
        <v>63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171</v>
      </c>
      <c r="C70" s="52" t="s">
        <v>58</v>
      </c>
      <c r="D70" s="51" t="s">
        <v>63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172</v>
      </c>
      <c r="C71" s="52" t="s">
        <v>58</v>
      </c>
      <c r="D71" s="51" t="s">
        <v>63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65</v>
      </c>
      <c r="C72" s="129" t="s">
        <v>77</v>
      </c>
      <c r="D72" s="130" t="s">
        <v>66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67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173</v>
      </c>
      <c r="C74" s="52" t="s">
        <v>78</v>
      </c>
      <c r="D74" s="51" t="s">
        <v>63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173</v>
      </c>
      <c r="C75" s="129" t="s">
        <v>58</v>
      </c>
      <c r="D75" s="51" t="s">
        <v>63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173</v>
      </c>
      <c r="C76" s="52" t="s">
        <v>78</v>
      </c>
      <c r="D76" s="51" t="s">
        <v>63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173</v>
      </c>
      <c r="C77" s="52" t="s">
        <v>78</v>
      </c>
      <c r="D77" s="51" t="s">
        <v>63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173</v>
      </c>
      <c r="C78" s="52" t="s">
        <v>78</v>
      </c>
      <c r="D78" s="51" t="s">
        <v>63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68</v>
      </c>
      <c r="C79" s="52" t="s">
        <v>79</v>
      </c>
      <c r="D79" s="130" t="s">
        <v>69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67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84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85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86</v>
      </c>
      <c r="C83" s="52" t="s">
        <v>69</v>
      </c>
      <c r="D83" s="51" t="s">
        <v>63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70</v>
      </c>
      <c r="C84" s="52" t="s">
        <v>80</v>
      </c>
      <c r="D84" s="51" t="s">
        <v>69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89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90</v>
      </c>
      <c r="C86" s="52" t="s">
        <v>91</v>
      </c>
      <c r="D86" s="51" t="s">
        <v>69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92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93</v>
      </c>
      <c r="C88" s="52"/>
      <c r="D88" s="51" t="s">
        <v>63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92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93</v>
      </c>
      <c r="C90" s="52"/>
      <c r="D90" s="51" t="s">
        <v>63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94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67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81</v>
      </c>
      <c r="C93" s="52" t="s">
        <v>82</v>
      </c>
      <c r="D93" s="51" t="s">
        <v>59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password="DBF4" sheet="1" objects="1" scenarios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B2" sqref="B2:C3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95</v>
      </c>
      <c r="C1" s="160"/>
      <c r="D1" s="74" t="s">
        <v>100</v>
      </c>
      <c r="E1" s="86"/>
    </row>
    <row r="2" spans="1:5" x14ac:dyDescent="0.25">
      <c r="A2" s="82">
        <v>1</v>
      </c>
      <c r="B2" s="157"/>
      <c r="C2" s="158"/>
      <c r="D2" s="79">
        <f>LEN(B2)</f>
        <v>0</v>
      </c>
      <c r="E2" s="76"/>
    </row>
    <row r="3" spans="1:5" x14ac:dyDescent="0.25">
      <c r="A3" s="79">
        <v>2</v>
      </c>
      <c r="B3" s="157"/>
      <c r="C3" s="158"/>
      <c r="D3" s="79">
        <f t="shared" ref="D3:D41" si="0">LEN(B3)</f>
        <v>0</v>
      </c>
      <c r="E3" s="76"/>
    </row>
    <row r="4" spans="1:5" x14ac:dyDescent="0.25">
      <c r="A4" s="79">
        <v>3</v>
      </c>
      <c r="B4" s="80"/>
      <c r="C4" s="84"/>
      <c r="D4" s="79">
        <f t="shared" si="0"/>
        <v>0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3">
    <mergeCell ref="B2:C2"/>
    <mergeCell ref="B3:C3"/>
    <mergeCell ref="B1:C1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83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71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A31" zoomScale="115" zoomScaleNormal="70" zoomScaleSheetLayoutView="115" workbookViewId="0">
      <selection activeCell="O145" sqref="O145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4" t="str">
        <f>IF(LEN(TRIM('4 доп.сведения'!B2))=0," ",'4 доп.сведения'!B2)</f>
        <v xml:space="preserve"> 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4" t="str">
        <f>IF(LEN(TRIM('4 доп.сведения'!B3))=0," ",'4 доп.сведения'!B3)</f>
        <v xml:space="preserve"> </v>
      </c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1" t="str">
        <f>IF(LEN(TRIM('4 доп.сведения'!B4))=0," ",'4 доп.сведения'!B4)</f>
        <v xml:space="preserve"> 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1" t="str">
        <f>IF(LEN(TRIM('4 доп.сведения'!B5))=0," ",'4 доп.сведения'!B5)</f>
        <v xml:space="preserve"> 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3" t="str">
        <f>'1 Обладатель диплома'!B3</f>
        <v>Фамилия</v>
      </c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1" t="str">
        <f>IF(LEN(TRIM('4 доп.сведения'!B6))=0," ",'4 доп.сведения'!B6)</f>
        <v xml:space="preserve"> 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1" t="str">
        <f>IF(LEN(TRIM('4 доп.сведения'!B7))=0," ",'4 доп.сведения'!B7)</f>
        <v xml:space="preserve"> 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1" t="str">
        <f>IF(LEN(TRIM('4 доп.сведения'!B8))=0," ",'4 доп.сведения'!B8)</f>
        <v xml:space="preserve"> 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1" t="str">
        <f>IF(LEN(TRIM('4 доп.сведения'!B9))=0," ",'4 доп.сведения'!B9)</f>
        <v xml:space="preserve"> 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3" t="str">
        <f>'1 Обладатель диплома'!B4</f>
        <v>Имя</v>
      </c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1" t="str">
        <f>IF(LEN(TRIM('4 доп.сведения'!B10))=0," ",'4 доп.сведения'!B10)</f>
        <v xml:space="preserve"> 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1" t="str">
        <f>IF(LEN(TRIM('4 доп.сведения'!B11))=0," ",'4 доп.сведения'!B11)</f>
        <v xml:space="preserve"> 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30"/>
      <c r="BB45" s="30"/>
      <c r="BC45" s="30"/>
      <c r="BD45" s="30"/>
      <c r="BE45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1" t="str">
        <f>IF(LEN(TRIM('4 доп.сведения'!B12))=0," ",'4 доп.сведения'!B12)</f>
        <v xml:space="preserve"> 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30"/>
      <c r="BB46" s="30"/>
      <c r="BC46" s="30"/>
      <c r="BD46" s="30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30"/>
      <c r="BB47" s="30"/>
      <c r="BC47" s="30"/>
      <c r="BD47" s="30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30"/>
      <c r="BB48" s="30"/>
      <c r="BC48" s="30"/>
      <c r="BD48" s="30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1" t="str">
        <f>IF(LEN(TRIM('4 доп.сведения'!B13))=0," ",'4 доп.сведения'!B13)</f>
        <v xml:space="preserve"> </v>
      </c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30"/>
      <c r="BB49" s="30"/>
      <c r="BC49" s="30"/>
      <c r="BD49" s="30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3" t="str">
        <f>'1 Обладатель диплома'!B5</f>
        <v>Отчество</v>
      </c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30"/>
      <c r="BB50" s="30"/>
      <c r="BC50" s="30"/>
      <c r="BD50" s="30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30"/>
      <c r="BB51" s="30"/>
      <c r="BC51" s="30"/>
      <c r="BD51" s="30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1" t="str">
        <f>IF(LEN(TRIM('4 доп.сведения'!B14))=0," ",'4 доп.сведения'!B14)</f>
        <v xml:space="preserve"> </v>
      </c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30"/>
      <c r="BB52" s="30"/>
      <c r="BC52" s="30"/>
      <c r="BD52" s="30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30"/>
      <c r="BB53" s="30"/>
      <c r="BC53" s="30"/>
      <c r="BD53" s="30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30"/>
      <c r="BB54" s="30"/>
      <c r="BC54" s="30"/>
      <c r="BD54" s="30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1" t="str">
        <f>IF(LEN(TRIM('4 доп.сведения'!B15))=0," ",'4 доп.сведения'!B15)</f>
        <v xml:space="preserve"> </v>
      </c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30"/>
      <c r="BB55" s="30"/>
      <c r="BC55" s="30"/>
      <c r="BD55" s="30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30"/>
      <c r="BB56" s="30"/>
      <c r="BC56" s="30"/>
      <c r="BD56" s="30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30"/>
      <c r="BB57" s="30"/>
      <c r="BC57" s="30"/>
      <c r="BD57" s="30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1" t="str">
        <f>IF(LEN(TRIM('4 доп.сведения'!B16))=0," ",'4 доп.сведения'!B16)</f>
        <v xml:space="preserve"> </v>
      </c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30"/>
      <c r="BB58" s="30"/>
      <c r="BC58" s="30"/>
      <c r="BD58" s="30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30"/>
      <c r="BB59" s="30"/>
      <c r="BC59" s="30"/>
      <c r="BD59" s="30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3" t="str">
        <f>'1 Обладатель диплома'!B6</f>
        <v>01 января 1988 года</v>
      </c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30"/>
      <c r="BB60" s="30"/>
      <c r="BC60" s="30"/>
      <c r="BD60" s="30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1" t="str">
        <f>IF(LEN(TRIM('4 доп.сведения'!B17))=0," ",'4 доп.сведения'!B17)</f>
        <v xml:space="preserve"> </v>
      </c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30"/>
      <c r="BB61" s="30"/>
      <c r="BC61" s="30"/>
      <c r="BD61" s="30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30"/>
      <c r="BB62" s="30"/>
      <c r="BC62" s="30"/>
      <c r="BD62" s="30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30"/>
      <c r="BB63" s="30"/>
      <c r="BC63" s="30"/>
      <c r="BD63" s="30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1" t="str">
        <f>IF(LEN(TRIM('4 доп.сведения'!B18))=0," ",'4 доп.сведения'!B18)</f>
        <v xml:space="preserve"> </v>
      </c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30"/>
      <c r="BB64" s="30"/>
      <c r="BC64" s="30"/>
      <c r="BD64" s="30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30"/>
      <c r="BB65" s="30"/>
      <c r="BC65" s="30"/>
      <c r="BD65" s="30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30"/>
      <c r="BB66" s="30"/>
      <c r="BC66" s="30"/>
      <c r="BD66" s="30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1" t="str">
        <f>IF(LEN(TRIM('4 доп.сведения'!B19))=0," ",'4 доп.сведения'!B19)</f>
        <v xml:space="preserve"> </v>
      </c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30"/>
      <c r="BB67" s="30"/>
      <c r="BC67" s="30"/>
      <c r="BD67" s="30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30"/>
      <c r="BB68" s="30"/>
      <c r="BC68" s="30"/>
      <c r="BD68" s="30"/>
      <c r="BE68" s="161" t="str">
        <f>Диплом!B3</f>
        <v>г Москва</v>
      </c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30"/>
      <c r="BB69" s="30"/>
      <c r="BC69" s="30"/>
      <c r="BD69" s="30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1" t="str">
        <f>IF(LEN(TRIM('4 доп.сведения'!B20))=0," ",'4 доп.сведения'!B20)</f>
        <v xml:space="preserve"> </v>
      </c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1" t="str">
        <f>IF(LEN(TRIM('4 доп.сведения'!B21))=0," ",'4 доп.сведения'!B21)</f>
        <v xml:space="preserve"> </v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1" t="str">
        <f>IF(LEN(TRIM('4 доп.сведения'!B22))=0," ",'4 доп.сведения'!B23)</f>
        <v xml:space="preserve"> </v>
      </c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1" t="str">
        <f>IF(LEN(TRIM('4 доп.сведения'!B24))=0," ",'4 доп.сведения'!B24)</f>
        <v xml:space="preserve"> </v>
      </c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8" t="str">
        <f>IF(LEN(TRIM('1 Обладатель диплома'!B8 &amp; " " &amp;'1 Обладатель диплома'!B9))=0," ",'1 Обладатель диплома'!B8 &amp; " " &amp;'1 Обладатель диплома'!B9)</f>
        <v xml:space="preserve"> </v>
      </c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1" t="str">
        <f>IF(LEN(TRIM('4 доп.сведения'!B25))=0," ",'4 доп.сведения'!B26)</f>
        <v xml:space="preserve"> </v>
      </c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1" t="str">
        <f>IF(LEN(TRIM('4 доп.сведения'!B55))=0," ",'4 доп.сведения'!B55)</f>
        <v xml:space="preserve"> </v>
      </c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30"/>
      <c r="BB87" s="30"/>
      <c r="BC87" s="30"/>
      <c r="BD87" s="30"/>
      <c r="BE87" s="161" t="str">
        <f>IF(Диплом!B4=""," ",Диплом!B4)</f>
        <v xml:space="preserve"> </v>
      </c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1" t="str">
        <f>IF(LEN(TRIM('4 доп.сведения'!B58))=0," ",'4 доп.сведения'!B58)</f>
        <v xml:space="preserve"> </v>
      </c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30"/>
      <c r="BB89" s="30"/>
      <c r="BC89" s="30"/>
      <c r="BD89" s="30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30"/>
      <c r="BB90" s="30"/>
      <c r="BC90" s="30"/>
      <c r="BD90" s="30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1" t="str">
        <f>Диплом!B5&amp;" "&amp;Диплом!B6</f>
        <v xml:space="preserve">бакалавра </v>
      </c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1" t="str">
        <f>IF(LEN(TRIM('1 Обладатель диплома'!B11))=0," ",'1 Обладатель диплома'!B11)</f>
        <v xml:space="preserve"> </v>
      </c>
      <c r="BX119" s="161"/>
      <c r="BY119" s="161"/>
      <c r="BZ119" s="161"/>
      <c r="CA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  <c r="DA119" s="161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1"/>
      <c r="BX120" s="161"/>
      <c r="BY120" s="161"/>
      <c r="BZ120" s="161"/>
      <c r="CA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  <c r="DA120" s="161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1"/>
      <c r="BX121" s="161"/>
      <c r="BY121" s="161"/>
      <c r="BZ121" s="161"/>
      <c r="CA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  <c r="DA121" s="161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  <c r="DA122" s="161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2" t="str">
        <f>IF(LEN(TRIM('1 Обладатель диплома'!B14))=0," ",'1 Обладатель диплома'!B14)</f>
        <v xml:space="preserve"> </v>
      </c>
      <c r="BX123" s="162"/>
      <c r="BY123" s="162"/>
      <c r="BZ123" s="162"/>
      <c r="CA123" s="162"/>
      <c r="CB123" s="162"/>
      <c r="CC123" s="162"/>
      <c r="CD123" s="162"/>
      <c r="CE123" s="162"/>
      <c r="CF123" s="162"/>
      <c r="CG123" s="162"/>
      <c r="CH123" s="162"/>
      <c r="CI123" s="162"/>
      <c r="CJ123" s="162"/>
      <c r="CK123" s="162"/>
      <c r="CL123" s="162"/>
      <c r="CM123" s="162"/>
      <c r="CN123" s="162"/>
      <c r="CO123" s="162"/>
      <c r="CP123" s="162"/>
      <c r="CQ123" s="162"/>
      <c r="CR123" s="162"/>
      <c r="CS123" s="162"/>
      <c r="CT123" s="162"/>
      <c r="CU123" s="162"/>
      <c r="CV123" s="162"/>
      <c r="CW123" s="162"/>
      <c r="CX123" s="162"/>
      <c r="CY123" s="162"/>
      <c r="CZ123" s="162"/>
      <c r="DA123" s="162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2"/>
      <c r="BX124" s="162"/>
      <c r="BY124" s="162"/>
      <c r="BZ124" s="162"/>
      <c r="CA124" s="162"/>
      <c r="CB124" s="162"/>
      <c r="CC124" s="162"/>
      <c r="CD124" s="162"/>
      <c r="CE124" s="162"/>
      <c r="CF124" s="162"/>
      <c r="CG124" s="162"/>
      <c r="CH124" s="162"/>
      <c r="CI124" s="162"/>
      <c r="CJ124" s="162"/>
      <c r="CK124" s="162"/>
      <c r="CL124" s="162"/>
      <c r="CM124" s="162"/>
      <c r="CN124" s="162"/>
      <c r="CO124" s="162"/>
      <c r="CP124" s="162"/>
      <c r="CQ124" s="162"/>
      <c r="CR124" s="162"/>
      <c r="CS124" s="162"/>
      <c r="CT124" s="162"/>
      <c r="CU124" s="162"/>
      <c r="CV124" s="162"/>
      <c r="CW124" s="162"/>
      <c r="CX124" s="162"/>
      <c r="CY124" s="162"/>
      <c r="CZ124" s="162"/>
      <c r="DA124" s="162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2"/>
      <c r="BX125" s="162"/>
      <c r="BY125" s="162"/>
      <c r="BZ125" s="162"/>
      <c r="CA125" s="162"/>
      <c r="CB125" s="162"/>
      <c r="CC125" s="162"/>
      <c r="CD125" s="162"/>
      <c r="CE125" s="162"/>
      <c r="CF125" s="162"/>
      <c r="CG125" s="162"/>
      <c r="CH125" s="162"/>
      <c r="CI125" s="162"/>
      <c r="CJ125" s="162"/>
      <c r="CK125" s="162"/>
      <c r="CL125" s="162"/>
      <c r="CM125" s="162"/>
      <c r="CN125" s="162"/>
      <c r="CO125" s="162"/>
      <c r="CP125" s="162"/>
      <c r="CQ125" s="162"/>
      <c r="CR125" s="162"/>
      <c r="CS125" s="162"/>
      <c r="CT125" s="162"/>
      <c r="CU125" s="162"/>
      <c r="CV125" s="162"/>
      <c r="CW125" s="162"/>
      <c r="CX125" s="162"/>
      <c r="CY125" s="162"/>
      <c r="CZ125" s="162"/>
      <c r="DA125" s="162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6" t="str">
        <f>IF(LEN(TRIM('5 Доп сведения'!C7))=0," ",'5 Доп сведения'!C7)</f>
        <v xml:space="preserve"> </v>
      </c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42"/>
      <c r="BB126" s="42"/>
      <c r="BC126" s="42"/>
      <c r="BD126" s="42"/>
      <c r="BE126" s="161" t="str">
        <f>Диплом!B7</f>
        <v>XXXX/Б24</v>
      </c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41"/>
      <c r="BV126" s="41"/>
      <c r="BW126" s="162"/>
      <c r="BX126" s="162"/>
      <c r="BY126" s="162"/>
      <c r="BZ126" s="162"/>
      <c r="CA126" s="162"/>
      <c r="CB126" s="162"/>
      <c r="CC126" s="162"/>
      <c r="CD126" s="162"/>
      <c r="CE126" s="162"/>
      <c r="CF126" s="162"/>
      <c r="CG126" s="162"/>
      <c r="CH126" s="162"/>
      <c r="CI126" s="162"/>
      <c r="CJ126" s="162"/>
      <c r="CK126" s="162"/>
      <c r="CL126" s="162"/>
      <c r="CM126" s="162"/>
      <c r="CN126" s="162"/>
      <c r="CO126" s="162"/>
      <c r="CP126" s="162"/>
      <c r="CQ126" s="162"/>
      <c r="CR126" s="162"/>
      <c r="CS126" s="162"/>
      <c r="CT126" s="162"/>
      <c r="CU126" s="162"/>
      <c r="CV126" s="162"/>
      <c r="CW126" s="162"/>
      <c r="CX126" s="162"/>
      <c r="CY126" s="162"/>
      <c r="CZ126" s="162"/>
      <c r="DA126" s="162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166"/>
      <c r="BA127" s="42"/>
      <c r="BB127" s="42"/>
      <c r="BC127" s="42"/>
      <c r="BD127" s="42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41"/>
      <c r="BV127" s="41"/>
      <c r="BW127" s="162" t="str">
        <f>IF(LEN(TRIM('1 Обладатель диплома'!B15))=0," ",'1 Обладатель диплома'!B15)</f>
        <v xml:space="preserve"> </v>
      </c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2"/>
      <c r="CL127" s="162"/>
      <c r="CM127" s="162"/>
      <c r="CN127" s="162"/>
      <c r="CO127" s="162"/>
      <c r="CP127" s="162"/>
      <c r="CQ127" s="162"/>
      <c r="CR127" s="162"/>
      <c r="CS127" s="162"/>
      <c r="CT127" s="162"/>
      <c r="CU127" s="162"/>
      <c r="CV127" s="162"/>
      <c r="CW127" s="162"/>
      <c r="CX127" s="162"/>
      <c r="CY127" s="162"/>
      <c r="CZ127" s="162"/>
      <c r="DA127" s="162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6" t="str">
        <f>IF(LEN(TRIM('5 Доп сведения'!C8))=0," ",'5 Доп сведения'!C8)</f>
        <v xml:space="preserve"> </v>
      </c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42"/>
      <c r="BB128" s="42"/>
      <c r="BC128" s="42"/>
      <c r="BD128" s="42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30"/>
      <c r="BV128" s="30"/>
      <c r="BW128" s="162"/>
      <c r="BX128" s="162"/>
      <c r="BY128" s="162"/>
      <c r="BZ128" s="162"/>
      <c r="CA128" s="162"/>
      <c r="CB128" s="162"/>
      <c r="CC128" s="162"/>
      <c r="CD128" s="162"/>
      <c r="CE128" s="162"/>
      <c r="CF128" s="162"/>
      <c r="CG128" s="162"/>
      <c r="CH128" s="162"/>
      <c r="CI128" s="162"/>
      <c r="CJ128" s="162"/>
      <c r="CK128" s="162"/>
      <c r="CL128" s="162"/>
      <c r="CM128" s="162"/>
      <c r="CN128" s="162"/>
      <c r="CO128" s="162"/>
      <c r="CP128" s="162"/>
      <c r="CQ128" s="162"/>
      <c r="CR128" s="162"/>
      <c r="CS128" s="162"/>
      <c r="CT128" s="162"/>
      <c r="CU128" s="162"/>
      <c r="CV128" s="162"/>
      <c r="CW128" s="162"/>
      <c r="CX128" s="162"/>
      <c r="CY128" s="162"/>
      <c r="CZ128" s="162"/>
      <c r="DA128" s="162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42"/>
      <c r="BB129" s="42"/>
      <c r="BC129" s="42"/>
      <c r="BD129" s="42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30"/>
      <c r="BV129" s="30"/>
      <c r="BW129" s="162"/>
      <c r="BX129" s="162"/>
      <c r="BY129" s="162"/>
      <c r="BZ129" s="162"/>
      <c r="CA129" s="162"/>
      <c r="CB129" s="162"/>
      <c r="CC129" s="162"/>
      <c r="CD129" s="162"/>
      <c r="CE129" s="162"/>
      <c r="CF129" s="162"/>
      <c r="CG129" s="162"/>
      <c r="CH129" s="162"/>
      <c r="CI129" s="162"/>
      <c r="CJ129" s="162"/>
      <c r="CK129" s="162"/>
      <c r="CL129" s="162"/>
      <c r="CM129" s="162"/>
      <c r="CN129" s="162"/>
      <c r="CO129" s="162"/>
      <c r="CP129" s="162"/>
      <c r="CQ129" s="162"/>
      <c r="CR129" s="162"/>
      <c r="CS129" s="162"/>
      <c r="CT129" s="162"/>
      <c r="CU129" s="162"/>
      <c r="CV129" s="162"/>
      <c r="CW129" s="162"/>
      <c r="CX129" s="162"/>
      <c r="CY129" s="162"/>
      <c r="CZ129" s="162"/>
      <c r="DA129" s="162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6" t="str">
        <f>IF(LEN(TRIM('5 Доп сведения'!C9))=0," ",'5 Доп сведения'!C9)</f>
        <v xml:space="preserve"> </v>
      </c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44"/>
      <c r="BB130" s="44"/>
      <c r="BC130" s="44"/>
      <c r="BD130" s="44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30"/>
      <c r="BV130" s="30"/>
      <c r="BW130" s="162"/>
      <c r="BX130" s="162"/>
      <c r="BY130" s="162"/>
      <c r="BZ130" s="162"/>
      <c r="CA130" s="162"/>
      <c r="CB130" s="162"/>
      <c r="CC130" s="162"/>
      <c r="CD130" s="162"/>
      <c r="CE130" s="162"/>
      <c r="CF130" s="162"/>
      <c r="CG130" s="162"/>
      <c r="CH130" s="162"/>
      <c r="CI130" s="162"/>
      <c r="CJ130" s="162"/>
      <c r="CK130" s="162"/>
      <c r="CL130" s="162"/>
      <c r="CM130" s="162"/>
      <c r="CN130" s="162"/>
      <c r="CO130" s="162"/>
      <c r="CP130" s="162"/>
      <c r="CQ130" s="162"/>
      <c r="CR130" s="162"/>
      <c r="CS130" s="162"/>
      <c r="CT130" s="162"/>
      <c r="CU130" s="162"/>
      <c r="CV130" s="162"/>
      <c r="CW130" s="162"/>
      <c r="CX130" s="162"/>
      <c r="CY130" s="162"/>
      <c r="CZ130" s="162"/>
      <c r="DA130" s="162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166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6" t="str">
        <f>IF(LEN(TRIM('5 Доп сведения'!C10))=0," ",'5 Доп сведения'!C10)</f>
        <v xml:space="preserve"> </v>
      </c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6" t="str">
        <f>IF(LEN(TRIM('5 Доп сведения'!C11))=0," ",'5 Доп сведения'!C11)</f>
        <v xml:space="preserve"> </v>
      </c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6" t="str">
        <f>IF(LEN(TRIM('5 Доп сведения'!C12))=0," ",'5 Доп сведения'!C12)</f>
        <v xml:space="preserve"> </v>
      </c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6" t="str">
        <f>IF(LEN(TRIM('5 Доп сведения'!C13))=0," ",'5 Доп сведения'!C13)</f>
        <v xml:space="preserve"> </v>
      </c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6" t="str">
        <f>IF(LEN(TRIM('5 Доп сведения'!C14))=0," ",'5 Доп сведения'!C14)</f>
        <v xml:space="preserve"> </v>
      </c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1" t="str">
        <f>Диплом!B8</f>
        <v>XX июня 2024 года</v>
      </c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5" t="str">
        <f>Диплом!B9</f>
        <v>А.А. Марголис</v>
      </c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30"/>
      <c r="BB145" s="30"/>
      <c r="BC145" s="30"/>
      <c r="BD145" s="30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30"/>
      <c r="BB146" s="30"/>
      <c r="BC146" s="30"/>
      <c r="BD146" s="30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30"/>
      <c r="BB147" s="30"/>
      <c r="BC147" s="30"/>
      <c r="BD147" s="30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30"/>
      <c r="BV147" s="169" t="str">
        <f>'1 Обладатель диплома'!B17 &amp;" "&amp;'1 Обладатель диплома'!B18&amp;" "&amp;'1 Обладатель диплома'!B19&amp;" "&amp;'1 Обладатель диплома'!B20</f>
        <v xml:space="preserve">   </v>
      </c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  <c r="CG147" s="169"/>
      <c r="CH147" s="169"/>
      <c r="CI147" s="169"/>
      <c r="CJ147" s="169"/>
      <c r="CK147" s="169"/>
      <c r="CL147" s="169"/>
      <c r="CM147" s="169"/>
      <c r="CN147" s="169"/>
      <c r="CO147" s="169"/>
      <c r="CP147" s="169"/>
      <c r="CQ147" s="169"/>
      <c r="CR147" s="169"/>
      <c r="CS147" s="169"/>
      <c r="CT147" s="169"/>
      <c r="CU147" s="169"/>
      <c r="CV147" s="169"/>
      <c r="CW147" s="169"/>
      <c r="CX147" s="169"/>
      <c r="CY147" s="169"/>
      <c r="CZ147" s="169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9"/>
      <c r="BW148" s="169"/>
      <c r="BX148" s="169"/>
      <c r="BY148" s="169"/>
      <c r="BZ148" s="169"/>
      <c r="CA148" s="169"/>
      <c r="CB148" s="169"/>
      <c r="CC148" s="169"/>
      <c r="CD148" s="169"/>
      <c r="CE148" s="169"/>
      <c r="CF148" s="169"/>
      <c r="CG148" s="169"/>
      <c r="CH148" s="169"/>
      <c r="CI148" s="169"/>
      <c r="CJ148" s="169"/>
      <c r="CK148" s="169"/>
      <c r="CL148" s="169"/>
      <c r="CM148" s="169"/>
      <c r="CN148" s="169"/>
      <c r="CO148" s="169"/>
      <c r="CP148" s="169"/>
      <c r="CQ148" s="169"/>
      <c r="CR148" s="169"/>
      <c r="CS148" s="169"/>
      <c r="CT148" s="169"/>
      <c r="CU148" s="169"/>
      <c r="CV148" s="169"/>
      <c r="CW148" s="169"/>
      <c r="CX148" s="169"/>
      <c r="CY148" s="169"/>
      <c r="CZ148" s="169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9"/>
      <c r="BW149" s="169"/>
      <c r="BX149" s="169"/>
      <c r="BY149" s="169"/>
      <c r="BZ149" s="169"/>
      <c r="CA149" s="169"/>
      <c r="CB149" s="169"/>
      <c r="CC149" s="169"/>
      <c r="CD149" s="169"/>
      <c r="CE149" s="169"/>
      <c r="CF149" s="169"/>
      <c r="CG149" s="169"/>
      <c r="CH149" s="169"/>
      <c r="CI149" s="169"/>
      <c r="CJ149" s="169"/>
      <c r="CK149" s="169"/>
      <c r="CL149" s="169"/>
      <c r="CM149" s="169"/>
      <c r="CN149" s="169"/>
      <c r="CO149" s="169"/>
      <c r="CP149" s="169"/>
      <c r="CQ149" s="169"/>
      <c r="CR149" s="169"/>
      <c r="CS149" s="169"/>
      <c r="CT149" s="169"/>
      <c r="CU149" s="169"/>
      <c r="CV149" s="169"/>
      <c r="CW149" s="169"/>
      <c r="CX149" s="169"/>
      <c r="CY149" s="169"/>
      <c r="CZ149" s="169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9"/>
      <c r="BW150" s="169"/>
      <c r="BX150" s="169"/>
      <c r="BY150" s="169"/>
      <c r="BZ150" s="169"/>
      <c r="CA150" s="169"/>
      <c r="CB150" s="169"/>
      <c r="CC150" s="169"/>
      <c r="CD150" s="169"/>
      <c r="CE150" s="169"/>
      <c r="CF150" s="169"/>
      <c r="CG150" s="169"/>
      <c r="CH150" s="169"/>
      <c r="CI150" s="169"/>
      <c r="CJ150" s="169"/>
      <c r="CK150" s="169"/>
      <c r="CL150" s="169"/>
      <c r="CM150" s="169"/>
      <c r="CN150" s="169"/>
      <c r="CO150" s="169"/>
      <c r="CP150" s="169"/>
      <c r="CQ150" s="169"/>
      <c r="CR150" s="169"/>
      <c r="CS150" s="169"/>
      <c r="CT150" s="169"/>
      <c r="CU150" s="169"/>
      <c r="CV150" s="169"/>
      <c r="CW150" s="169"/>
      <c r="CX150" s="169"/>
      <c r="CY150" s="169"/>
      <c r="CZ150" s="169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  <c r="CG151" s="169"/>
      <c r="CH151" s="169"/>
      <c r="CI151" s="169"/>
      <c r="CJ151" s="169"/>
      <c r="CK151" s="169"/>
      <c r="CL151" s="169"/>
      <c r="CM151" s="169"/>
      <c r="CN151" s="169"/>
      <c r="CO151" s="169"/>
      <c r="CP151" s="169"/>
      <c r="CQ151" s="169"/>
      <c r="CR151" s="169"/>
      <c r="CS151" s="169"/>
      <c r="CT151" s="169"/>
      <c r="CU151" s="169"/>
      <c r="CV151" s="169"/>
      <c r="CW151" s="169"/>
      <c r="CX151" s="169"/>
      <c r="CY151" s="169"/>
      <c r="CZ151" s="169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9"/>
      <c r="BW152" s="169"/>
      <c r="BX152" s="169"/>
      <c r="BY152" s="169"/>
      <c r="BZ152" s="169"/>
      <c r="CA152" s="169"/>
      <c r="CB152" s="169"/>
      <c r="CC152" s="169"/>
      <c r="CD152" s="169"/>
      <c r="CE152" s="169"/>
      <c r="CF152" s="169"/>
      <c r="CG152" s="169"/>
      <c r="CH152" s="169"/>
      <c r="CI152" s="169"/>
      <c r="CJ152" s="169"/>
      <c r="CK152" s="169"/>
      <c r="CL152" s="169"/>
      <c r="CM152" s="169"/>
      <c r="CN152" s="169"/>
      <c r="CO152" s="169"/>
      <c r="CP152" s="169"/>
      <c r="CQ152" s="169"/>
      <c r="CR152" s="169"/>
      <c r="CS152" s="169"/>
      <c r="CT152" s="169"/>
      <c r="CU152" s="169"/>
      <c r="CV152" s="169"/>
      <c r="CW152" s="169"/>
      <c r="CX152" s="169"/>
      <c r="CY152" s="169"/>
      <c r="CZ152" s="169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password="DBF4" sheet="1" objects="1" scenarios="1"/>
  <mergeCells count="53">
    <mergeCell ref="D138:AZ139"/>
    <mergeCell ref="D140:AZ141"/>
    <mergeCell ref="D136:AZ137"/>
    <mergeCell ref="D134:AZ135"/>
    <mergeCell ref="BE126:BT130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C16:AZ18"/>
    <mergeCell ref="C25:AZ27"/>
    <mergeCell ref="C28:AZ30"/>
    <mergeCell ref="C31:AZ33"/>
    <mergeCell ref="C34:AZ36"/>
    <mergeCell ref="BW127:DA130"/>
    <mergeCell ref="BW123:DA12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58:AZ60"/>
    <mergeCell ref="C61:AZ63"/>
    <mergeCell ref="C64:AZ66"/>
    <mergeCell ref="C67:AZ69"/>
    <mergeCell ref="C70:AZ72"/>
    <mergeCell ref="C88:AZ90"/>
    <mergeCell ref="C73:AZ75"/>
    <mergeCell ref="C76:AZ78"/>
    <mergeCell ref="C79:AZ81"/>
    <mergeCell ref="C82:AZ84"/>
    <mergeCell ref="C85:AZ87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C84"/>
  <sheetViews>
    <sheetView view="pageBreakPreview" zoomScaleNormal="90" zoomScaleSheetLayoutView="100" workbookViewId="0">
      <selection activeCell="AV40" sqref="AV40:BB81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Дисциплина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3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отлично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3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отлично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3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отлично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3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отлично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3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отлично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3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отлично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3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отлично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 xml:space="preserve">2 з.е 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отлично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27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2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отлично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3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отлично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18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отлично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2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отлично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3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отлично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14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отлично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18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отлично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2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отлично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18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отлично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2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отлично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18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отлично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2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отлично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9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2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отлично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3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отлично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3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отлично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2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отлично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отлично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4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отлично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10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отлично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4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отлично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526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4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отлично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3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отлично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отлично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6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отлично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2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отлично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отлично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6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отлично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5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отлично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4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отлично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3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отлично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7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отлично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7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отлично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12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отлично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6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отлично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3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отлично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3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отлично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3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отлично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3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отлично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3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отлично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3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отлично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3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отлично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3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отлично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3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отлично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3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отлично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3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отлично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3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отлично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3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отлично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3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отлично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3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отлично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3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отлично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3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отлично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3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отлично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3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отлично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3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отлично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3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отлично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3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отлично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3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отлично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3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отлично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3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отлично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3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отлично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3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отлично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3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отлично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3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отлично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3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отлично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3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отлично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3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отлично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3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отлично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3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отлично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3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отлично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3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отлично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2" t="str">
        <f>IF(LEN(TRIM('3 Освоение программы'!B135))=0," ",'3 Освоение программы'!B135)</f>
        <v xml:space="preserve"> </v>
      </c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1" t="str">
        <f>IF(LEN(TRIM('3 Освоение программы'!C135))=0," ",'3 Освоение программы'!C135)</f>
        <v xml:space="preserve"> </v>
      </c>
      <c r="AS81" s="171"/>
      <c r="AT81" s="171"/>
      <c r="AU81" s="171"/>
      <c r="AV81" s="171" t="str">
        <f>IF(LEN(TRIM('3 Освоение программы'!D135))=0," ",'3 Освоение программы'!D135)</f>
        <v xml:space="preserve"> </v>
      </c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7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76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7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7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7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76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76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76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76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76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7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7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7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7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7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7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7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7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7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7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7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7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7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7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76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76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81" t="str">
        <f>'1 Обладатель диплома'!B4</f>
        <v>Имя</v>
      </c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76"/>
      <c r="B29" s="30"/>
      <c r="C29" s="34"/>
      <c r="D29" s="34"/>
      <c r="E29" s="166" t="str">
        <f>IF(LEN(TRIM('4 доп.сведения'!B2))=0," ",'4 доп.сведения'!B2)</f>
        <v xml:space="preserve"> 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34"/>
      <c r="AM29" s="34"/>
      <c r="AN29" s="34"/>
      <c r="AO29" s="175" t="str">
        <f>IF(LEN(TRIM('4 доп.сведения'!C2))=0," ",'4 доп.сведения'!C2)</f>
        <v xml:space="preserve"> </v>
      </c>
      <c r="AP29" s="175"/>
      <c r="AQ29" s="175"/>
      <c r="AR29" s="175"/>
      <c r="AS29" s="175"/>
      <c r="AT29" s="175"/>
      <c r="AU29" s="175"/>
      <c r="AV29" s="175"/>
      <c r="AW29" s="175"/>
      <c r="AX29" s="175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  <c r="CS29" s="181"/>
      <c r="CT29" s="181"/>
      <c r="CU29" s="181"/>
      <c r="CV29" s="181"/>
      <c r="CW29" s="181"/>
      <c r="CX29" s="181"/>
      <c r="CY29" s="181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76"/>
      <c r="B30" s="30"/>
      <c r="C30" s="34"/>
      <c r="D30" s="34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34"/>
      <c r="AM30" s="34"/>
      <c r="AN30" s="34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/>
      <c r="CV30" s="181"/>
      <c r="CW30" s="181"/>
      <c r="CX30" s="181"/>
      <c r="CY30" s="181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76"/>
      <c r="B31" s="30"/>
      <c r="C31" s="34"/>
      <c r="D31" s="34"/>
      <c r="E31" s="166" t="str">
        <f>IF(LEN(TRIM('4 доп.сведения'!B3))=0," ",'4 доп.сведения'!B3)</f>
        <v xml:space="preserve"> </v>
      </c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34"/>
      <c r="AM31" s="34"/>
      <c r="AN31" s="34"/>
      <c r="AO31" s="175" t="str">
        <f>IF(LEN(TRIM('4 доп.сведения'!C3))=0," ",'4 доп.сведения'!C3)</f>
        <v xml:space="preserve"> </v>
      </c>
      <c r="AP31" s="175"/>
      <c r="AQ31" s="175"/>
      <c r="AR31" s="175"/>
      <c r="AS31" s="175"/>
      <c r="AT31" s="175"/>
      <c r="AU31" s="175"/>
      <c r="AV31" s="175"/>
      <c r="AW31" s="175"/>
      <c r="AX31" s="175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181"/>
      <c r="CU31" s="181"/>
      <c r="CV31" s="181"/>
      <c r="CW31" s="181"/>
      <c r="CX31" s="181"/>
      <c r="CY31" s="181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76"/>
      <c r="B32" s="30"/>
      <c r="C32" s="34"/>
      <c r="D32" s="34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34"/>
      <c r="AM32" s="34"/>
      <c r="AN32" s="34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1"/>
      <c r="CW32" s="181"/>
      <c r="CX32" s="181"/>
      <c r="CY32" s="181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76"/>
      <c r="B33" s="30"/>
      <c r="C33" s="34"/>
      <c r="D33" s="34"/>
      <c r="E33" s="166" t="str">
        <f>IF(LEN(TRIM('4 доп.сведения'!B4))=0," ",'4 доп.сведения'!B4)</f>
        <v xml:space="preserve"> </v>
      </c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34"/>
      <c r="AM33" s="34"/>
      <c r="AN33" s="34"/>
      <c r="AO33" s="175" t="str">
        <f>IF(LEN(TRIM('4 доп.сведения'!C4))=0," ",'4 доп.сведения'!C4)</f>
        <v xml:space="preserve"> </v>
      </c>
      <c r="AP33" s="175"/>
      <c r="AQ33" s="175"/>
      <c r="AR33" s="175"/>
      <c r="AS33" s="175"/>
      <c r="AT33" s="175"/>
      <c r="AU33" s="175"/>
      <c r="AV33" s="175"/>
      <c r="AW33" s="175"/>
      <c r="AX33" s="175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76"/>
      <c r="B34" s="30"/>
      <c r="C34" s="34"/>
      <c r="D34" s="34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34"/>
      <c r="AM34" s="34"/>
      <c r="AN34" s="34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76"/>
      <c r="B35" s="30"/>
      <c r="C35" s="34"/>
      <c r="D35" s="34"/>
      <c r="E35" s="166" t="str">
        <f>IF(LEN(TRIM('4 доп.сведения'!B5))=0," ",'4 доп.сведения'!B5)</f>
        <v xml:space="preserve"> </v>
      </c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34"/>
      <c r="AM35" s="34"/>
      <c r="AN35" s="34"/>
      <c r="AO35" s="175" t="str">
        <f>IF(LEN(TRIM('4 доп.сведения'!C5))=0," ",'4 доп.сведения'!C5)</f>
        <v xml:space="preserve"> </v>
      </c>
      <c r="AP35" s="175"/>
      <c r="AQ35" s="175"/>
      <c r="AR35" s="175"/>
      <c r="AS35" s="175"/>
      <c r="AT35" s="175"/>
      <c r="AU35" s="175"/>
      <c r="AV35" s="175"/>
      <c r="AW35" s="175"/>
      <c r="AX35" s="175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81" t="str">
        <f>'1 Обладатель диплома'!B5</f>
        <v>Отчество</v>
      </c>
      <c r="CG35" s="181"/>
      <c r="CH35" s="181"/>
      <c r="CI35" s="181"/>
      <c r="CJ35" s="181"/>
      <c r="CK35" s="181"/>
      <c r="CL35" s="181"/>
      <c r="CM35" s="181"/>
      <c r="CN35" s="181"/>
      <c r="CO35" s="181"/>
      <c r="CP35" s="181"/>
      <c r="CQ35" s="181"/>
      <c r="CR35" s="181"/>
      <c r="CS35" s="181"/>
      <c r="CT35" s="181"/>
      <c r="CU35" s="181"/>
      <c r="CV35" s="181"/>
      <c r="CW35" s="181"/>
      <c r="CX35" s="181"/>
      <c r="CY35" s="181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76"/>
      <c r="B36" s="30"/>
      <c r="C36" s="34"/>
      <c r="D36" s="34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34"/>
      <c r="AM36" s="34"/>
      <c r="AN36" s="34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81"/>
      <c r="CG36" s="181"/>
      <c r="CH36" s="181"/>
      <c r="CI36" s="181"/>
      <c r="CJ36" s="181"/>
      <c r="CK36" s="181"/>
      <c r="CL36" s="181"/>
      <c r="CM36" s="181"/>
      <c r="CN36" s="181"/>
      <c r="CO36" s="181"/>
      <c r="CP36" s="181"/>
      <c r="CQ36" s="181"/>
      <c r="CR36" s="181"/>
      <c r="CS36" s="181"/>
      <c r="CT36" s="181"/>
      <c r="CU36" s="181"/>
      <c r="CV36" s="181"/>
      <c r="CW36" s="181"/>
      <c r="CX36" s="181"/>
      <c r="CY36" s="181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76"/>
      <c r="B37" s="30"/>
      <c r="C37" s="34"/>
      <c r="D37" s="34"/>
      <c r="E37" s="166" t="str">
        <f>IF(LEN(TRIM('4 доп.сведения'!B6))=0," ",'4 доп.сведения'!B6)</f>
        <v xml:space="preserve"> </v>
      </c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34"/>
      <c r="AM37" s="34"/>
      <c r="AN37" s="34"/>
      <c r="AO37" s="175" t="str">
        <f>IF(LEN(TRIM('4 доп.сведения'!C6))=0," ",'4 доп.сведения'!C6)</f>
        <v xml:space="preserve"> </v>
      </c>
      <c r="AP37" s="175"/>
      <c r="AQ37" s="175"/>
      <c r="AR37" s="175"/>
      <c r="AS37" s="175"/>
      <c r="AT37" s="175"/>
      <c r="AU37" s="175"/>
      <c r="AV37" s="175"/>
      <c r="AW37" s="175"/>
      <c r="AX37" s="175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81"/>
      <c r="CG37" s="181"/>
      <c r="CH37" s="181"/>
      <c r="CI37" s="181"/>
      <c r="CJ37" s="181"/>
      <c r="CK37" s="181"/>
      <c r="CL37" s="181"/>
      <c r="CM37" s="181"/>
      <c r="CN37" s="181"/>
      <c r="CO37" s="181"/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76"/>
      <c r="B38" s="30"/>
      <c r="C38" s="34"/>
      <c r="D38" s="34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34"/>
      <c r="AM38" s="34"/>
      <c r="AN38" s="34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81"/>
      <c r="CG38" s="181"/>
      <c r="CH38" s="181"/>
      <c r="CI38" s="181"/>
      <c r="CJ38" s="181"/>
      <c r="CK38" s="181"/>
      <c r="CL38" s="181"/>
      <c r="CM38" s="181"/>
      <c r="CN38" s="181"/>
      <c r="CO38" s="181"/>
      <c r="CP38" s="181"/>
      <c r="CQ38" s="181"/>
      <c r="CR38" s="181"/>
      <c r="CS38" s="181"/>
      <c r="CT38" s="181"/>
      <c r="CU38" s="181"/>
      <c r="CV38" s="181"/>
      <c r="CW38" s="181"/>
      <c r="CX38" s="181"/>
      <c r="CY38" s="181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76"/>
      <c r="B39" s="30"/>
      <c r="C39" s="34"/>
      <c r="D39" s="34"/>
      <c r="E39" s="166" t="str">
        <f>IF(LEN(TRIM('4 доп.сведения'!B7))=0," ",'4 доп.сведения'!B7)</f>
        <v xml:space="preserve"> </v>
      </c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34"/>
      <c r="AM39" s="34"/>
      <c r="AN39" s="34"/>
      <c r="AO39" s="175" t="str">
        <f>IF(LEN(TRIM('4 доп.сведения'!C7))=0," ",'4 доп.сведения'!C7)</f>
        <v xml:space="preserve"> </v>
      </c>
      <c r="AP39" s="175"/>
      <c r="AQ39" s="175"/>
      <c r="AR39" s="175"/>
      <c r="AS39" s="175"/>
      <c r="AT39" s="175"/>
      <c r="AU39" s="175"/>
      <c r="AV39" s="175"/>
      <c r="AW39" s="175"/>
      <c r="AX39" s="175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81"/>
      <c r="CG39" s="181"/>
      <c r="CH39" s="181"/>
      <c r="CI39" s="181"/>
      <c r="CJ39" s="181"/>
      <c r="CK39" s="181"/>
      <c r="CL39" s="181"/>
      <c r="CM39" s="181"/>
      <c r="CN39" s="181"/>
      <c r="CO39" s="181"/>
      <c r="CP39" s="181"/>
      <c r="CQ39" s="181"/>
      <c r="CR39" s="181"/>
      <c r="CS39" s="181"/>
      <c r="CT39" s="181"/>
      <c r="CU39" s="181"/>
      <c r="CV39" s="181"/>
      <c r="CW39" s="181"/>
      <c r="CX39" s="181"/>
      <c r="CY39" s="181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76"/>
      <c r="B40" s="30"/>
      <c r="C40" s="34"/>
      <c r="D40" s="34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34"/>
      <c r="AM40" s="34"/>
      <c r="AN40" s="34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81"/>
      <c r="CG40" s="181"/>
      <c r="CH40" s="181"/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1"/>
      <c r="CY40" s="181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76"/>
      <c r="B41" s="30"/>
      <c r="C41" s="34"/>
      <c r="D41" s="34"/>
      <c r="E41" s="166" t="str">
        <f>IF(LEN(TRIM('4 доп.сведения'!B8))=0," ",'4 доп.сведения'!B8)</f>
        <v xml:space="preserve"> </v>
      </c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34"/>
      <c r="AM41" s="34"/>
      <c r="AN41" s="34"/>
      <c r="AO41" s="175" t="str">
        <f>IF(LEN(TRIM('4 доп.сведения'!C8))=0," ",'4 доп.сведения'!C8)</f>
        <v xml:space="preserve"> </v>
      </c>
      <c r="AP41" s="175"/>
      <c r="AQ41" s="175"/>
      <c r="AR41" s="175"/>
      <c r="AS41" s="175"/>
      <c r="AT41" s="175"/>
      <c r="AU41" s="175"/>
      <c r="AV41" s="175"/>
      <c r="AW41" s="175"/>
      <c r="AX41" s="175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76"/>
      <c r="B42" s="30"/>
      <c r="C42" s="34"/>
      <c r="D42" s="34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34"/>
      <c r="AM42" s="34"/>
      <c r="AN42" s="34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76"/>
      <c r="B43" s="30"/>
      <c r="C43" s="34"/>
      <c r="D43" s="34"/>
      <c r="E43" s="166" t="str">
        <f>IF(LEN(TRIM('4 доп.сведения'!B9))=0," ",'4 доп.сведения'!B9)</f>
        <v xml:space="preserve"> 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34"/>
      <c r="AM43" s="34"/>
      <c r="AN43" s="34"/>
      <c r="AO43" s="175" t="str">
        <f>IF(LEN(TRIM('4 доп.сведения'!C9))=0," ",'4 доп.сведения'!C9)</f>
        <v xml:space="preserve"> </v>
      </c>
      <c r="AP43" s="175"/>
      <c r="AQ43" s="175"/>
      <c r="AR43" s="175"/>
      <c r="AS43" s="175"/>
      <c r="AT43" s="175"/>
      <c r="AU43" s="175"/>
      <c r="AV43" s="175"/>
      <c r="AW43" s="175"/>
      <c r="AX43" s="175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76"/>
      <c r="B44" s="30"/>
      <c r="C44" s="34"/>
      <c r="D44" s="34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34"/>
      <c r="AM44" s="34"/>
      <c r="AN44" s="34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76"/>
      <c r="B45" s="30"/>
      <c r="C45" s="34"/>
      <c r="D45" s="34"/>
      <c r="E45" s="166" t="str">
        <f>IF(LEN(TRIM('4 доп.сведения'!B10))=0," ",'4 доп.сведения'!B10)</f>
        <v xml:space="preserve"> </v>
      </c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34"/>
      <c r="AM45" s="34"/>
      <c r="AN45" s="34"/>
      <c r="AO45" s="175" t="str">
        <f>IF(LEN(TRIM('4 доп.сведения'!C10))=0," ",'4 доп.сведения'!C10)</f>
        <v xml:space="preserve"> </v>
      </c>
      <c r="AP45" s="175"/>
      <c r="AQ45" s="175"/>
      <c r="AR45" s="175"/>
      <c r="AS45" s="175"/>
      <c r="AT45" s="175"/>
      <c r="AU45" s="175"/>
      <c r="AV45" s="175"/>
      <c r="AW45" s="175"/>
      <c r="AX45" s="175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76"/>
      <c r="B46" s="30"/>
      <c r="C46" s="34"/>
      <c r="D46" s="34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34"/>
      <c r="AM46" s="34"/>
      <c r="AN46" s="34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76"/>
      <c r="B47" s="30"/>
      <c r="C47" s="34"/>
      <c r="D47" s="34"/>
      <c r="E47" s="166" t="str">
        <f>IF(LEN(TRIM('4 доп.сведения'!B11))=0," ",'4 доп.сведения'!B11)</f>
        <v xml:space="preserve"> </v>
      </c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34"/>
      <c r="AM47" s="34"/>
      <c r="AN47" s="34"/>
      <c r="AO47" s="175" t="str">
        <f>IF(LEN(TRIM('4 доп.сведения'!C11))=0," ",'4 доп.сведения'!C11)</f>
        <v xml:space="preserve"> </v>
      </c>
      <c r="AP47" s="175"/>
      <c r="AQ47" s="175"/>
      <c r="AR47" s="175"/>
      <c r="AS47" s="175"/>
      <c r="AT47" s="175"/>
      <c r="AU47" s="175"/>
      <c r="AV47" s="175"/>
      <c r="AW47" s="175"/>
      <c r="AX47" s="175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76"/>
      <c r="B48" s="30"/>
      <c r="C48" s="34"/>
      <c r="D48" s="34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34"/>
      <c r="AM48" s="34"/>
      <c r="AN48" s="34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76"/>
      <c r="B49" s="30"/>
      <c r="C49" s="34"/>
      <c r="D49" s="34"/>
      <c r="E49" s="166" t="str">
        <f>IF(LEN(TRIM('4 доп.сведения'!B12))=0," ",'4 доп.сведения'!B12)</f>
        <v xml:space="preserve"> 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34"/>
      <c r="AM49" s="34"/>
      <c r="AN49" s="34"/>
      <c r="AO49" s="175" t="str">
        <f>IF(LEN(TRIM('4 доп.сведения'!C12))=0," ",'4 доп.сведения'!C12)</f>
        <v xml:space="preserve"> </v>
      </c>
      <c r="AP49" s="175"/>
      <c r="AQ49" s="175"/>
      <c r="AR49" s="175"/>
      <c r="AS49" s="175"/>
      <c r="AT49" s="175"/>
      <c r="AU49" s="175"/>
      <c r="AV49" s="175"/>
      <c r="AW49" s="175"/>
      <c r="AX49" s="175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76"/>
      <c r="B50" s="30"/>
      <c r="C50" s="34"/>
      <c r="D50" s="34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34"/>
      <c r="AM50" s="34"/>
      <c r="AN50" s="34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76"/>
      <c r="B51" s="30"/>
      <c r="C51" s="34"/>
      <c r="D51" s="34"/>
      <c r="E51" s="166" t="str">
        <f>IF(LEN(TRIM('4 доп.сведения'!B13))=0," ",'4 доп.сведения'!B13)</f>
        <v xml:space="preserve"> </v>
      </c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34"/>
      <c r="AM51" s="34"/>
      <c r="AN51" s="34"/>
      <c r="AO51" s="175" t="str">
        <f>IF(LEN(TRIM('4 доп.сведения'!C13))=0," ",'4 доп.сведения'!C13)</f>
        <v xml:space="preserve"> </v>
      </c>
      <c r="AP51" s="175"/>
      <c r="AQ51" s="175"/>
      <c r="AR51" s="175"/>
      <c r="AS51" s="175"/>
      <c r="AT51" s="175"/>
      <c r="AU51" s="175"/>
      <c r="AV51" s="175"/>
      <c r="AW51" s="175"/>
      <c r="AX51" s="175"/>
      <c r="AY51" s="30"/>
      <c r="AZ51" s="30"/>
      <c r="BA51" s="30"/>
      <c r="BB51" s="30"/>
      <c r="BC51" s="37"/>
      <c r="BD51" s="37"/>
      <c r="BE51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76"/>
      <c r="B52" s="30"/>
      <c r="C52" s="34"/>
      <c r="D52" s="34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34"/>
      <c r="AM52" s="34"/>
      <c r="AN52" s="34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30"/>
      <c r="AZ52" s="30"/>
      <c r="BA52" s="30"/>
      <c r="BB52" s="30"/>
      <c r="BC52" s="37"/>
      <c r="BD52" s="3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6" t="str">
        <f>IF(LEN(TRIM('4 доп.сведения'!B14))=0," ",'4 доп.сведения'!B14)</f>
        <v xml:space="preserve"> </v>
      </c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34"/>
      <c r="AM53" s="34"/>
      <c r="AN53" s="34"/>
      <c r="AO53" s="175" t="str">
        <f>IF(LEN(TRIM('4 доп.сведения'!C14))=0," ",'4 доп.сведения'!C14)</f>
        <v xml:space="preserve"> </v>
      </c>
      <c r="AP53" s="175"/>
      <c r="AQ53" s="175"/>
      <c r="AR53" s="175"/>
      <c r="AS53" s="175"/>
      <c r="AT53" s="175"/>
      <c r="AU53" s="175"/>
      <c r="AV53" s="175"/>
      <c r="AW53" s="175"/>
      <c r="AX53" s="175"/>
      <c r="AY53" s="30"/>
      <c r="AZ53" s="30"/>
      <c r="BA53" s="30"/>
      <c r="BB53" s="30"/>
      <c r="BC53" s="37"/>
      <c r="BD53" s="3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34"/>
      <c r="AM54" s="34"/>
      <c r="AN54" s="34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30"/>
      <c r="AZ54" s="30"/>
      <c r="BA54" s="30"/>
      <c r="BB54" s="30"/>
      <c r="BC54" s="37"/>
      <c r="BD54" s="3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6" t="str">
        <f>IF(LEN(TRIM('4 доп.сведения'!B15))=0," ",'4 доп.сведения'!B15)</f>
        <v xml:space="preserve"> </v>
      </c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34"/>
      <c r="AM55" s="34"/>
      <c r="AN55" s="34"/>
      <c r="AO55" s="175" t="str">
        <f>IF(LEN(TRIM('4 доп.сведения'!C15))=0," ",'4 доп.сведения'!C15)</f>
        <v xml:space="preserve"> </v>
      </c>
      <c r="AP55" s="175"/>
      <c r="AQ55" s="175"/>
      <c r="AR55" s="175"/>
      <c r="AS55" s="175"/>
      <c r="AT55" s="175"/>
      <c r="AU55" s="175"/>
      <c r="AV55" s="175"/>
      <c r="AW55" s="175"/>
      <c r="AX55" s="175"/>
      <c r="AY55" s="30"/>
      <c r="AZ55" s="30"/>
      <c r="BA55" s="30"/>
      <c r="BB55" s="30"/>
      <c r="BC55" s="37"/>
      <c r="BD55" s="3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34"/>
      <c r="AM56" s="34"/>
      <c r="AN56" s="34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30"/>
      <c r="AZ56" s="30"/>
      <c r="BA56" s="30"/>
      <c r="BB56" s="30"/>
      <c r="BC56" s="37"/>
      <c r="BD56" s="3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177" t="str">
        <f>IF(LEN(TRIM('1 Обладатель диплома'!B8 &amp; " " &amp;'1 Обладатель диплома'!B9))=0," ",'1 Обладатель диплома'!B8 &amp; " " &amp;'1 Обладатель диплома'!B9)</f>
        <v xml:space="preserve"> </v>
      </c>
      <c r="BX56" s="177"/>
      <c r="BY56" s="177"/>
      <c r="BZ56" s="177"/>
      <c r="CA56" s="177"/>
      <c r="CB56" s="177"/>
      <c r="CC56" s="177"/>
      <c r="CD56" s="177"/>
      <c r="CE56" s="177"/>
      <c r="CF56" s="177"/>
      <c r="CG56" s="177"/>
      <c r="CH56" s="177"/>
      <c r="CI56" s="177"/>
      <c r="CJ56" s="177"/>
      <c r="CK56" s="177"/>
      <c r="CL56" s="177"/>
      <c r="CM56" s="177"/>
      <c r="CN56" s="177"/>
      <c r="CO56" s="177"/>
      <c r="CP56" s="177"/>
      <c r="CQ56" s="177"/>
      <c r="CR56" s="177"/>
      <c r="CS56" s="177"/>
      <c r="CT56" s="177"/>
      <c r="CU56" s="177"/>
      <c r="CV56" s="177"/>
      <c r="CW56" s="177"/>
      <c r="CX56" s="177"/>
      <c r="CY56" s="177"/>
      <c r="CZ56" s="177"/>
      <c r="DA56" s="177"/>
      <c r="DB56" s="177"/>
      <c r="DC56" s="177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6" t="str">
        <f>IF(LEN(TRIM('4 доп.сведения'!B16))=0," ",'4 доп.сведения'!B16)</f>
        <v xml:space="preserve"> </v>
      </c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34"/>
      <c r="AM57" s="34"/>
      <c r="AN57" s="34"/>
      <c r="AO57" s="175" t="str">
        <f>IF(LEN(TRIM('4 доп.сведения'!C16))=0," ",'4 доп.сведения'!C16)</f>
        <v xml:space="preserve"> </v>
      </c>
      <c r="AP57" s="175"/>
      <c r="AQ57" s="175"/>
      <c r="AR57" s="175"/>
      <c r="AS57" s="175"/>
      <c r="AT57" s="175"/>
      <c r="AU57" s="175"/>
      <c r="AV57" s="175"/>
      <c r="AW57" s="175"/>
      <c r="AX57" s="175"/>
      <c r="AY57" s="30"/>
      <c r="AZ57" s="30"/>
      <c r="BA57" s="30"/>
      <c r="BB57" s="30"/>
      <c r="BC57" s="37"/>
      <c r="BD57" s="3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177"/>
      <c r="BX57" s="177"/>
      <c r="BY57" s="177"/>
      <c r="BZ57" s="177"/>
      <c r="CA57" s="177"/>
      <c r="CB57" s="177"/>
      <c r="CC57" s="177"/>
      <c r="CD57" s="177"/>
      <c r="CE57" s="177"/>
      <c r="CF57" s="177"/>
      <c r="CG57" s="177"/>
      <c r="CH57" s="177"/>
      <c r="CI57" s="177"/>
      <c r="CJ57" s="177"/>
      <c r="CK57" s="177"/>
      <c r="CL57" s="177"/>
      <c r="CM57" s="177"/>
      <c r="CN57" s="177"/>
      <c r="CO57" s="177"/>
      <c r="CP57" s="177"/>
      <c r="CQ57" s="177"/>
      <c r="CR57" s="177"/>
      <c r="CS57" s="177"/>
      <c r="CT57" s="177"/>
      <c r="CU57" s="177"/>
      <c r="CV57" s="177"/>
      <c r="CW57" s="177"/>
      <c r="CX57" s="177"/>
      <c r="CY57" s="177"/>
      <c r="CZ57" s="177"/>
      <c r="DA57" s="177"/>
      <c r="DB57" s="177"/>
      <c r="DC57" s="177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34"/>
      <c r="AM58" s="34"/>
      <c r="AN58" s="34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30"/>
      <c r="AZ58" s="30"/>
      <c r="BA58" s="30"/>
      <c r="BB58" s="30"/>
      <c r="BC58" s="37"/>
      <c r="BD58" s="3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177"/>
      <c r="BX58" s="177"/>
      <c r="BY58" s="177"/>
      <c r="BZ58" s="177"/>
      <c r="CA58" s="177"/>
      <c r="CB58" s="177"/>
      <c r="CC58" s="177"/>
      <c r="CD58" s="177"/>
      <c r="CE58" s="177"/>
      <c r="CF58" s="177"/>
      <c r="CG58" s="177"/>
      <c r="CH58" s="177"/>
      <c r="CI58" s="177"/>
      <c r="CJ58" s="177"/>
      <c r="CK58" s="177"/>
      <c r="CL58" s="177"/>
      <c r="CM58" s="177"/>
      <c r="CN58" s="177"/>
      <c r="CO58" s="177"/>
      <c r="CP58" s="177"/>
      <c r="CQ58" s="177"/>
      <c r="CR58" s="177"/>
      <c r="CS58" s="177"/>
      <c r="CT58" s="177"/>
      <c r="CU58" s="177"/>
      <c r="CV58" s="177"/>
      <c r="CW58" s="177"/>
      <c r="CX58" s="177"/>
      <c r="CY58" s="177"/>
      <c r="CZ58" s="177"/>
      <c r="DA58" s="177"/>
      <c r="DB58" s="177"/>
      <c r="DC58" s="177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6" t="str">
        <f>IF(LEN(TRIM('4 доп.сведения'!B17))=0," ",'4 доп.сведения'!B17)</f>
        <v xml:space="preserve"> </v>
      </c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34"/>
      <c r="AM59" s="34"/>
      <c r="AN59" s="34"/>
      <c r="AO59" s="175" t="str">
        <f>IF(LEN(TRIM('4 доп.сведения'!C17))=0," ",'4 доп.сведения'!C17)</f>
        <v xml:space="preserve"> </v>
      </c>
      <c r="AP59" s="175"/>
      <c r="AQ59" s="175"/>
      <c r="AR59" s="175"/>
      <c r="AS59" s="175"/>
      <c r="AT59" s="175"/>
      <c r="AU59" s="175"/>
      <c r="AV59" s="175"/>
      <c r="AW59" s="175"/>
      <c r="AX59" s="175"/>
      <c r="AY59" s="30"/>
      <c r="AZ59" s="30"/>
      <c r="BA59" s="30"/>
      <c r="BB59" s="30"/>
      <c r="BC59" s="37"/>
      <c r="BD59" s="3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177"/>
      <c r="BX59" s="177"/>
      <c r="BY59" s="177"/>
      <c r="BZ59" s="177"/>
      <c r="CA59" s="177"/>
      <c r="CB59" s="177"/>
      <c r="CC59" s="177"/>
      <c r="CD59" s="177"/>
      <c r="CE59" s="177"/>
      <c r="CF59" s="177"/>
      <c r="CG59" s="177"/>
      <c r="CH59" s="177"/>
      <c r="CI59" s="177"/>
      <c r="CJ59" s="177"/>
      <c r="CK59" s="177"/>
      <c r="CL59" s="177"/>
      <c r="CM59" s="177"/>
      <c r="CN59" s="177"/>
      <c r="CO59" s="177"/>
      <c r="CP59" s="177"/>
      <c r="CQ59" s="177"/>
      <c r="CR59" s="177"/>
      <c r="CS59" s="177"/>
      <c r="CT59" s="177"/>
      <c r="CU59" s="177"/>
      <c r="CV59" s="177"/>
      <c r="CW59" s="177"/>
      <c r="CX59" s="177"/>
      <c r="CY59" s="177"/>
      <c r="CZ59" s="177"/>
      <c r="DA59" s="177"/>
      <c r="DB59" s="177"/>
      <c r="DC59" s="177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34"/>
      <c r="AM60" s="34"/>
      <c r="AN60" s="34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30"/>
      <c r="AZ60" s="30"/>
      <c r="BA60" s="30"/>
      <c r="BB60" s="30"/>
      <c r="BC60" s="37"/>
      <c r="BD60" s="3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177"/>
      <c r="BX60" s="177"/>
      <c r="BY60" s="177"/>
      <c r="BZ60" s="177"/>
      <c r="CA60" s="177"/>
      <c r="CB60" s="177"/>
      <c r="CC60" s="177"/>
      <c r="CD60" s="177"/>
      <c r="CE60" s="177"/>
      <c r="CF60" s="177"/>
      <c r="CG60" s="177"/>
      <c r="CH60" s="177"/>
      <c r="CI60" s="177"/>
      <c r="CJ60" s="177"/>
      <c r="CK60" s="177"/>
      <c r="CL60" s="177"/>
      <c r="CM60" s="177"/>
      <c r="CN60" s="177"/>
      <c r="CO60" s="177"/>
      <c r="CP60" s="177"/>
      <c r="CQ60" s="177"/>
      <c r="CR60" s="177"/>
      <c r="CS60" s="177"/>
      <c r="CT60" s="177"/>
      <c r="CU60" s="177"/>
      <c r="CV60" s="177"/>
      <c r="CW60" s="177"/>
      <c r="CX60" s="177"/>
      <c r="CY60" s="177"/>
      <c r="CZ60" s="177"/>
      <c r="DA60" s="177"/>
      <c r="DB60" s="177"/>
      <c r="DC60" s="177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6" t="str">
        <f>IF(LEN(TRIM('4 доп.сведения'!B18))=0," ",'4 доп.сведения'!B18)</f>
        <v xml:space="preserve"> </v>
      </c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34"/>
      <c r="AM61" s="34"/>
      <c r="AN61" s="34"/>
      <c r="AO61" s="175" t="str">
        <f>IF(LEN(TRIM('4 доп.сведения'!C18))=0," ",'4 доп.сведения'!C18)</f>
        <v xml:space="preserve"> </v>
      </c>
      <c r="AP61" s="175"/>
      <c r="AQ61" s="175"/>
      <c r="AR61" s="175"/>
      <c r="AS61" s="175"/>
      <c r="AT61" s="175"/>
      <c r="AU61" s="175"/>
      <c r="AV61" s="175"/>
      <c r="AW61" s="175"/>
      <c r="AX61" s="175"/>
      <c r="AY61" s="30"/>
      <c r="AZ61" s="30"/>
      <c r="BA61" s="30"/>
      <c r="BB61" s="30"/>
      <c r="BC61" s="37"/>
      <c r="BD61" s="3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177"/>
      <c r="BX61" s="177"/>
      <c r="BY61" s="177"/>
      <c r="BZ61" s="177"/>
      <c r="CA61" s="177"/>
      <c r="CB61" s="177"/>
      <c r="CC61" s="177"/>
      <c r="CD61" s="177"/>
      <c r="CE61" s="177"/>
      <c r="CF61" s="177"/>
      <c r="CG61" s="177"/>
      <c r="CH61" s="177"/>
      <c r="CI61" s="177"/>
      <c r="CJ61" s="177"/>
      <c r="CK61" s="177"/>
      <c r="CL61" s="177"/>
      <c r="CM61" s="177"/>
      <c r="CN61" s="177"/>
      <c r="CO61" s="177"/>
      <c r="CP61" s="177"/>
      <c r="CQ61" s="177"/>
      <c r="CR61" s="177"/>
      <c r="CS61" s="177"/>
      <c r="CT61" s="177"/>
      <c r="CU61" s="177"/>
      <c r="CV61" s="177"/>
      <c r="CW61" s="177"/>
      <c r="CX61" s="177"/>
      <c r="CY61" s="177"/>
      <c r="CZ61" s="177"/>
      <c r="DA61" s="177"/>
      <c r="DB61" s="177"/>
      <c r="DC61" s="177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34"/>
      <c r="AM62" s="34"/>
      <c r="AN62" s="34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30"/>
      <c r="AZ62" s="30"/>
      <c r="BA62" s="30"/>
      <c r="BB62" s="30"/>
      <c r="BC62" s="37"/>
      <c r="BD62" s="3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177"/>
      <c r="BX62" s="177"/>
      <c r="BY62" s="177"/>
      <c r="BZ62" s="177"/>
      <c r="CA62" s="177"/>
      <c r="CB62" s="177"/>
      <c r="CC62" s="177"/>
      <c r="CD62" s="177"/>
      <c r="CE62" s="177"/>
      <c r="CF62" s="177"/>
      <c r="CG62" s="177"/>
      <c r="CH62" s="177"/>
      <c r="CI62" s="177"/>
      <c r="CJ62" s="177"/>
      <c r="CK62" s="177"/>
      <c r="CL62" s="177"/>
      <c r="CM62" s="177"/>
      <c r="CN62" s="177"/>
      <c r="CO62" s="177"/>
      <c r="CP62" s="177"/>
      <c r="CQ62" s="177"/>
      <c r="CR62" s="177"/>
      <c r="CS62" s="177"/>
      <c r="CT62" s="177"/>
      <c r="CU62" s="177"/>
      <c r="CV62" s="177"/>
      <c r="CW62" s="177"/>
      <c r="CX62" s="177"/>
      <c r="CY62" s="177"/>
      <c r="CZ62" s="177"/>
      <c r="DA62" s="177"/>
      <c r="DB62" s="177"/>
      <c r="DC62" s="177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6" t="str">
        <f>IF(LEN(TRIM('4 доп.сведения'!B19))=0," ",'4 доп.сведения'!B19)</f>
        <v xml:space="preserve"> </v>
      </c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34"/>
      <c r="AM63" s="34"/>
      <c r="AN63" s="34"/>
      <c r="AO63" s="175" t="str">
        <f>IF(LEN(TRIM('4 доп.сведения'!C19))=0," ",'4 доп.сведения'!C19)</f>
        <v xml:space="preserve"> </v>
      </c>
      <c r="AP63" s="175"/>
      <c r="AQ63" s="175"/>
      <c r="AR63" s="175"/>
      <c r="AS63" s="175"/>
      <c r="AT63" s="175"/>
      <c r="AU63" s="175"/>
      <c r="AV63" s="175"/>
      <c r="AW63" s="175"/>
      <c r="AX63" s="175"/>
      <c r="AY63" s="30"/>
      <c r="AZ63" s="30"/>
      <c r="BA63" s="30"/>
      <c r="BB63" s="30"/>
      <c r="BC63" s="37"/>
      <c r="BD63" s="3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177"/>
      <c r="BX63" s="177"/>
      <c r="BY63" s="177"/>
      <c r="BZ63" s="177"/>
      <c r="CA63" s="177"/>
      <c r="CB63" s="177"/>
      <c r="CC63" s="177"/>
      <c r="CD63" s="177"/>
      <c r="CE63" s="177"/>
      <c r="CF63" s="177"/>
      <c r="CG63" s="177"/>
      <c r="CH63" s="177"/>
      <c r="CI63" s="177"/>
      <c r="CJ63" s="177"/>
      <c r="CK63" s="177"/>
      <c r="CL63" s="177"/>
      <c r="CM63" s="177"/>
      <c r="CN63" s="177"/>
      <c r="CO63" s="177"/>
      <c r="CP63" s="177"/>
      <c r="CQ63" s="177"/>
      <c r="CR63" s="177"/>
      <c r="CS63" s="177"/>
      <c r="CT63" s="177"/>
      <c r="CU63" s="177"/>
      <c r="CV63" s="177"/>
      <c r="CW63" s="177"/>
      <c r="CX63" s="177"/>
      <c r="CY63" s="177"/>
      <c r="CZ63" s="177"/>
      <c r="DA63" s="177"/>
      <c r="DB63" s="177"/>
      <c r="DC63" s="177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34"/>
      <c r="AM64" s="34"/>
      <c r="AN64" s="34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30"/>
      <c r="AZ64" s="30"/>
      <c r="BA64" s="30"/>
      <c r="BB64" s="30"/>
      <c r="BC64" s="37"/>
      <c r="BD64" s="3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177"/>
      <c r="BX64" s="177"/>
      <c r="BY64" s="177"/>
      <c r="BZ64" s="177"/>
      <c r="CA64" s="177"/>
      <c r="CB64" s="177"/>
      <c r="CC64" s="177"/>
      <c r="CD64" s="177"/>
      <c r="CE64" s="177"/>
      <c r="CF64" s="177"/>
      <c r="CG64" s="177"/>
      <c r="CH64" s="177"/>
      <c r="CI64" s="177"/>
      <c r="CJ64" s="177"/>
      <c r="CK64" s="177"/>
      <c r="CL64" s="177"/>
      <c r="CM64" s="177"/>
      <c r="CN64" s="177"/>
      <c r="CO64" s="177"/>
      <c r="CP64" s="177"/>
      <c r="CQ64" s="177"/>
      <c r="CR64" s="177"/>
      <c r="CS64" s="177"/>
      <c r="CT64" s="177"/>
      <c r="CU64" s="177"/>
      <c r="CV64" s="177"/>
      <c r="CW64" s="177"/>
      <c r="CX64" s="177"/>
      <c r="CY64" s="177"/>
      <c r="CZ64" s="177"/>
      <c r="DA64" s="177"/>
      <c r="DB64" s="177"/>
      <c r="DC64" s="177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6" t="str">
        <f>IF(LEN(TRIM('4 доп.сведения'!B20))=0," ",'4 доп.сведения'!B20)</f>
        <v xml:space="preserve"> </v>
      </c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34"/>
      <c r="AM65" s="34"/>
      <c r="AN65" s="34"/>
      <c r="AO65" s="175" t="str">
        <f>IF(LEN(TRIM('4 доп.сведения'!C20))=0," ",'4 доп.сведения'!C20)</f>
        <v xml:space="preserve"> </v>
      </c>
      <c r="AP65" s="175"/>
      <c r="AQ65" s="175"/>
      <c r="AR65" s="175"/>
      <c r="AS65" s="175"/>
      <c r="AT65" s="175"/>
      <c r="AU65" s="175"/>
      <c r="AV65" s="175"/>
      <c r="AW65" s="175"/>
      <c r="AX65" s="175"/>
      <c r="AY65" s="30"/>
      <c r="AZ65" s="30"/>
      <c r="BA65" s="30"/>
      <c r="BB65" s="30"/>
      <c r="BC65" s="37"/>
      <c r="BD65" s="3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177"/>
      <c r="BX65" s="177"/>
      <c r="BY65" s="177"/>
      <c r="BZ65" s="177"/>
      <c r="CA65" s="177"/>
      <c r="CB65" s="177"/>
      <c r="CC65" s="177"/>
      <c r="CD65" s="177"/>
      <c r="CE65" s="177"/>
      <c r="CF65" s="177"/>
      <c r="CG65" s="177"/>
      <c r="CH65" s="177"/>
      <c r="CI65" s="177"/>
      <c r="CJ65" s="177"/>
      <c r="CK65" s="177"/>
      <c r="CL65" s="177"/>
      <c r="CM65" s="177"/>
      <c r="CN65" s="177"/>
      <c r="CO65" s="177"/>
      <c r="CP65" s="177"/>
      <c r="CQ65" s="177"/>
      <c r="CR65" s="177"/>
      <c r="CS65" s="177"/>
      <c r="CT65" s="177"/>
      <c r="CU65" s="177"/>
      <c r="CV65" s="177"/>
      <c r="CW65" s="177"/>
      <c r="CX65" s="177"/>
      <c r="CY65" s="177"/>
      <c r="CZ65" s="177"/>
      <c r="DA65" s="177"/>
      <c r="DB65" s="177"/>
      <c r="DC65" s="177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34"/>
      <c r="AM66" s="34"/>
      <c r="AN66" s="34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30"/>
      <c r="AZ66" s="30"/>
      <c r="BA66" s="30"/>
      <c r="BB66" s="30"/>
      <c r="BC66" s="37"/>
      <c r="BD66" s="3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7"/>
      <c r="BV66" s="37"/>
      <c r="BW66" s="177"/>
      <c r="BX66" s="177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177"/>
      <c r="CL66" s="177"/>
      <c r="CM66" s="177"/>
      <c r="CN66" s="177"/>
      <c r="CO66" s="177"/>
      <c r="CP66" s="177"/>
      <c r="CQ66" s="177"/>
      <c r="CR66" s="177"/>
      <c r="CS66" s="177"/>
      <c r="CT66" s="177"/>
      <c r="CU66" s="177"/>
      <c r="CV66" s="177"/>
      <c r="CW66" s="177"/>
      <c r="CX66" s="177"/>
      <c r="CY66" s="177"/>
      <c r="CZ66" s="177"/>
      <c r="DA66" s="177"/>
      <c r="DB66" s="177"/>
      <c r="DC66" s="177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6" t="str">
        <f>IF(LEN(TRIM('4 доп.сведения'!B21))=0," ",'4 доп.сведения'!B21)</f>
        <v xml:space="preserve"> </v>
      </c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34"/>
      <c r="AM67" s="34"/>
      <c r="AN67" s="34"/>
      <c r="AO67" s="175" t="str">
        <f>IF(LEN(TRIM('4 доп.сведения'!C21))=0," ",'4 доп.сведения'!C21)</f>
        <v xml:space="preserve"> </v>
      </c>
      <c r="AP67" s="175"/>
      <c r="AQ67" s="175"/>
      <c r="AR67" s="175"/>
      <c r="AS67" s="175"/>
      <c r="AT67" s="175"/>
      <c r="AU67" s="175"/>
      <c r="AV67" s="175"/>
      <c r="AW67" s="175"/>
      <c r="AX67" s="175"/>
      <c r="AY67" s="30"/>
      <c r="AZ67" s="30"/>
      <c r="BA67" s="30"/>
      <c r="BB67" s="30"/>
      <c r="BC67" s="37"/>
      <c r="BD67" s="3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7"/>
      <c r="BV67" s="37"/>
      <c r="BW67" s="177"/>
      <c r="BX67" s="177"/>
      <c r="BY67" s="177"/>
      <c r="BZ67" s="177"/>
      <c r="CA67" s="177"/>
      <c r="CB67" s="177"/>
      <c r="CC67" s="177"/>
      <c r="CD67" s="177"/>
      <c r="CE67" s="177"/>
      <c r="CF67" s="177"/>
      <c r="CG67" s="177"/>
      <c r="CH67" s="177"/>
      <c r="CI67" s="177"/>
      <c r="CJ67" s="177"/>
      <c r="CK67" s="177"/>
      <c r="CL67" s="177"/>
      <c r="CM67" s="177"/>
      <c r="CN67" s="177"/>
      <c r="CO67" s="177"/>
      <c r="CP67" s="177"/>
      <c r="CQ67" s="177"/>
      <c r="CR67" s="177"/>
      <c r="CS67" s="177"/>
      <c r="CT67" s="177"/>
      <c r="CU67" s="177"/>
      <c r="CV67" s="177"/>
      <c r="CW67" s="177"/>
      <c r="CX67" s="177"/>
      <c r="CY67" s="177"/>
      <c r="CZ67" s="177"/>
      <c r="DA67" s="177"/>
      <c r="DB67" s="177"/>
      <c r="DC67" s="177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34"/>
      <c r="AM68" s="34"/>
      <c r="AN68" s="34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30"/>
      <c r="AZ68" s="30"/>
      <c r="BA68" s="30"/>
      <c r="BB68" s="30"/>
      <c r="BC68" s="37"/>
      <c r="BD68" s="3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37"/>
      <c r="BV68" s="37"/>
      <c r="BW68" s="177"/>
      <c r="BX68" s="177"/>
      <c r="BY68" s="177"/>
      <c r="BZ68" s="177"/>
      <c r="CA68" s="177"/>
      <c r="CB68" s="177"/>
      <c r="CC68" s="177"/>
      <c r="CD68" s="177"/>
      <c r="CE68" s="177"/>
      <c r="CF68" s="177"/>
      <c r="CG68" s="177"/>
      <c r="CH68" s="177"/>
      <c r="CI68" s="177"/>
      <c r="CJ68" s="177"/>
      <c r="CK68" s="177"/>
      <c r="CL68" s="177"/>
      <c r="CM68" s="177"/>
      <c r="CN68" s="177"/>
      <c r="CO68" s="177"/>
      <c r="CP68" s="177"/>
      <c r="CQ68" s="177"/>
      <c r="CR68" s="177"/>
      <c r="CS68" s="177"/>
      <c r="CT68" s="177"/>
      <c r="CU68" s="177"/>
      <c r="CV68" s="177"/>
      <c r="CW68" s="177"/>
      <c r="CX68" s="177"/>
      <c r="CY68" s="177"/>
      <c r="CZ68" s="177"/>
      <c r="DA68" s="177"/>
      <c r="DB68" s="177"/>
      <c r="DC68" s="177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6" t="str">
        <f>IF(LEN(TRIM('4 доп.сведения'!B22))=0," ",'4 доп.сведения'!B22)</f>
        <v xml:space="preserve"> </v>
      </c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34"/>
      <c r="AM69" s="34"/>
      <c r="AN69" s="34"/>
      <c r="AO69" s="175" t="str">
        <f>IF(LEN(TRIM('4 доп.сведения'!C22))=0," ",'4 доп.сведения'!C22)</f>
        <v xml:space="preserve"> </v>
      </c>
      <c r="AP69" s="175"/>
      <c r="AQ69" s="175"/>
      <c r="AR69" s="175"/>
      <c r="AS69" s="175"/>
      <c r="AT69" s="175"/>
      <c r="AU69" s="175"/>
      <c r="AV69" s="175"/>
      <c r="AW69" s="175"/>
      <c r="AX69" s="175"/>
      <c r="AY69" s="30"/>
      <c r="AZ69" s="30"/>
      <c r="BA69" s="30"/>
      <c r="BB69" s="30"/>
      <c r="BC69" s="37"/>
      <c r="BD69" s="3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37"/>
      <c r="BV69" s="37"/>
      <c r="BW69" s="177"/>
      <c r="BX69" s="177"/>
      <c r="BY69" s="177"/>
      <c r="BZ69" s="177"/>
      <c r="CA69" s="177"/>
      <c r="CB69" s="177"/>
      <c r="CC69" s="177"/>
      <c r="CD69" s="177"/>
      <c r="CE69" s="177"/>
      <c r="CF69" s="177"/>
      <c r="CG69" s="177"/>
      <c r="CH69" s="177"/>
      <c r="CI69" s="177"/>
      <c r="CJ69" s="177"/>
      <c r="CK69" s="177"/>
      <c r="CL69" s="177"/>
      <c r="CM69" s="177"/>
      <c r="CN69" s="177"/>
      <c r="CO69" s="177"/>
      <c r="CP69" s="177"/>
      <c r="CQ69" s="177"/>
      <c r="CR69" s="177"/>
      <c r="CS69" s="177"/>
      <c r="CT69" s="177"/>
      <c r="CU69" s="177"/>
      <c r="CV69" s="177"/>
      <c r="CW69" s="177"/>
      <c r="CX69" s="177"/>
      <c r="CY69" s="177"/>
      <c r="CZ69" s="177"/>
      <c r="DA69" s="177"/>
      <c r="DB69" s="177"/>
      <c r="DC69" s="177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34"/>
      <c r="AM70" s="34"/>
      <c r="AN70" s="34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30"/>
      <c r="AZ70" s="30"/>
      <c r="BA70" s="30"/>
      <c r="BB70" s="30"/>
      <c r="BC70" s="37"/>
      <c r="BD70" s="3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37"/>
      <c r="BV70" s="37"/>
      <c r="BW70" s="177"/>
      <c r="BX70" s="177"/>
      <c r="BY70" s="177"/>
      <c r="BZ70" s="177"/>
      <c r="CA70" s="177"/>
      <c r="CB70" s="177"/>
      <c r="CC70" s="177"/>
      <c r="CD70" s="177"/>
      <c r="CE70" s="177"/>
      <c r="CF70" s="177"/>
      <c r="CG70" s="177"/>
      <c r="CH70" s="177"/>
      <c r="CI70" s="177"/>
      <c r="CJ70" s="177"/>
      <c r="CK70" s="177"/>
      <c r="CL70" s="177"/>
      <c r="CM70" s="177"/>
      <c r="CN70" s="177"/>
      <c r="CO70" s="177"/>
      <c r="CP70" s="177"/>
      <c r="CQ70" s="177"/>
      <c r="CR70" s="177"/>
      <c r="CS70" s="177"/>
      <c r="CT70" s="177"/>
      <c r="CU70" s="177"/>
      <c r="CV70" s="177"/>
      <c r="CW70" s="177"/>
      <c r="CX70" s="177"/>
      <c r="CY70" s="177"/>
      <c r="CZ70" s="177"/>
      <c r="DA70" s="177"/>
      <c r="DB70" s="177"/>
      <c r="DC70" s="177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6" t="str">
        <f>IF(LEN(TRIM('4 доп.сведения'!B23))=0," ",'4 доп.сведения'!B23)</f>
        <v xml:space="preserve"> </v>
      </c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34"/>
      <c r="AM71" s="34"/>
      <c r="AN71" s="34"/>
      <c r="AO71" s="175" t="str">
        <f>IF(LEN(TRIM('4 доп.сведения'!C23))=0," ",'4 доп.сведения'!C23)</f>
        <v xml:space="preserve"> </v>
      </c>
      <c r="AP71" s="175"/>
      <c r="AQ71" s="175"/>
      <c r="AR71" s="175"/>
      <c r="AS71" s="175"/>
      <c r="AT71" s="175"/>
      <c r="AU71" s="175"/>
      <c r="AV71" s="175"/>
      <c r="AW71" s="175"/>
      <c r="AX71" s="175"/>
      <c r="AY71" s="30"/>
      <c r="AZ71" s="30"/>
      <c r="BA71" s="30"/>
      <c r="BB71" s="30"/>
      <c r="BC71" s="37"/>
      <c r="BD71" s="3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37"/>
      <c r="BV71" s="37"/>
      <c r="BW71" s="177"/>
      <c r="BX71" s="177"/>
      <c r="BY71" s="177"/>
      <c r="BZ71" s="177"/>
      <c r="CA71" s="177"/>
      <c r="CB71" s="177"/>
      <c r="CC71" s="177"/>
      <c r="CD71" s="177"/>
      <c r="CE71" s="177"/>
      <c r="CF71" s="177"/>
      <c r="CG71" s="177"/>
      <c r="CH71" s="177"/>
      <c r="CI71" s="177"/>
      <c r="CJ71" s="177"/>
      <c r="CK71" s="177"/>
      <c r="CL71" s="177"/>
      <c r="CM71" s="177"/>
      <c r="CN71" s="177"/>
      <c r="CO71" s="177"/>
      <c r="CP71" s="177"/>
      <c r="CQ71" s="177"/>
      <c r="CR71" s="177"/>
      <c r="CS71" s="177"/>
      <c r="CT71" s="177"/>
      <c r="CU71" s="177"/>
      <c r="CV71" s="177"/>
      <c r="CW71" s="177"/>
      <c r="CX71" s="177"/>
      <c r="CY71" s="177"/>
      <c r="CZ71" s="177"/>
      <c r="DA71" s="177"/>
      <c r="DB71" s="177"/>
      <c r="DC71" s="177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34"/>
      <c r="AM72" s="34"/>
      <c r="AN72" s="34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30"/>
      <c r="AZ72" s="30"/>
      <c r="BA72" s="30"/>
      <c r="BB72" s="30"/>
      <c r="BC72" s="37"/>
      <c r="BD72" s="3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37"/>
      <c r="BV72" s="37"/>
      <c r="BW72" s="177"/>
      <c r="BX72" s="177"/>
      <c r="BY72" s="177"/>
      <c r="BZ72" s="177"/>
      <c r="CA72" s="177"/>
      <c r="CB72" s="177"/>
      <c r="CC72" s="177"/>
      <c r="CD72" s="177"/>
      <c r="CE72" s="177"/>
      <c r="CF72" s="177"/>
      <c r="CG72" s="177"/>
      <c r="CH72" s="177"/>
      <c r="CI72" s="177"/>
      <c r="CJ72" s="177"/>
      <c r="CK72" s="177"/>
      <c r="CL72" s="177"/>
      <c r="CM72" s="177"/>
      <c r="CN72" s="177"/>
      <c r="CO72" s="177"/>
      <c r="CP72" s="177"/>
      <c r="CQ72" s="177"/>
      <c r="CR72" s="177"/>
      <c r="CS72" s="177"/>
      <c r="CT72" s="177"/>
      <c r="CU72" s="177"/>
      <c r="CV72" s="177"/>
      <c r="CW72" s="177"/>
      <c r="CX72" s="177"/>
      <c r="CY72" s="177"/>
      <c r="CZ72" s="177"/>
      <c r="DA72" s="177"/>
      <c r="DB72" s="177"/>
      <c r="DC72" s="177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6" t="str">
        <f>IF(LEN(TRIM('4 доп.сведения'!B24))=0," ",'4 доп.сведения'!B24)</f>
        <v xml:space="preserve"> </v>
      </c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34"/>
      <c r="AM73" s="34"/>
      <c r="AN73" s="34"/>
      <c r="AO73" s="175" t="str">
        <f>IF(LEN(TRIM('4 доп.сведения'!C24))=0," ",'4 доп.сведения'!C24)</f>
        <v xml:space="preserve"> </v>
      </c>
      <c r="AP73" s="175"/>
      <c r="AQ73" s="175"/>
      <c r="AR73" s="175"/>
      <c r="AS73" s="175"/>
      <c r="AT73" s="175"/>
      <c r="AU73" s="175"/>
      <c r="AV73" s="175"/>
      <c r="AW73" s="175"/>
      <c r="AX73" s="175"/>
      <c r="AY73" s="30"/>
      <c r="AZ73" s="30"/>
      <c r="BA73" s="30"/>
      <c r="BB73" s="30"/>
      <c r="BC73" s="37"/>
      <c r="BD73" s="3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38"/>
      <c r="BV73" s="38"/>
      <c r="BW73" s="177"/>
      <c r="BX73" s="177"/>
      <c r="BY73" s="177"/>
      <c r="BZ73" s="177"/>
      <c r="CA73" s="177"/>
      <c r="CB73" s="177"/>
      <c r="CC73" s="177"/>
      <c r="CD73" s="177"/>
      <c r="CE73" s="177"/>
      <c r="CF73" s="177"/>
      <c r="CG73" s="177"/>
      <c r="CH73" s="177"/>
      <c r="CI73" s="177"/>
      <c r="CJ73" s="177"/>
      <c r="CK73" s="177"/>
      <c r="CL73" s="177"/>
      <c r="CM73" s="177"/>
      <c r="CN73" s="177"/>
      <c r="CO73" s="177"/>
      <c r="CP73" s="177"/>
      <c r="CQ73" s="177"/>
      <c r="CR73" s="177"/>
      <c r="CS73" s="177"/>
      <c r="CT73" s="177"/>
      <c r="CU73" s="177"/>
      <c r="CV73" s="177"/>
      <c r="CW73" s="177"/>
      <c r="CX73" s="177"/>
      <c r="CY73" s="177"/>
      <c r="CZ73" s="177"/>
      <c r="DA73" s="177"/>
      <c r="DB73" s="177"/>
      <c r="DC73" s="177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34"/>
      <c r="AM74" s="34"/>
      <c r="AN74" s="34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30"/>
      <c r="AZ74" s="30"/>
      <c r="BA74" s="30"/>
      <c r="BB74" s="30"/>
      <c r="BC74" s="37"/>
      <c r="BD74" s="3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6" t="str">
        <f>IF(LEN(TRIM('4 доп.сведения'!B25))=0," ",'4 доп.сведения'!B25)</f>
        <v xml:space="preserve"> </v>
      </c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34"/>
      <c r="AM75" s="34"/>
      <c r="AN75" s="34"/>
      <c r="AO75" s="175" t="str">
        <f>IF(LEN(TRIM('4 доп.сведения'!C25))=0," ",'4 доп.сведения'!C25)</f>
        <v xml:space="preserve"> </v>
      </c>
      <c r="AP75" s="175"/>
      <c r="AQ75" s="175"/>
      <c r="AR75" s="175"/>
      <c r="AS75" s="175"/>
      <c r="AT75" s="175"/>
      <c r="AU75" s="175"/>
      <c r="AV75" s="175"/>
      <c r="AW75" s="175"/>
      <c r="AX75" s="175"/>
      <c r="AY75" s="30"/>
      <c r="AZ75" s="30"/>
      <c r="BA75" s="30"/>
      <c r="BB75" s="30"/>
      <c r="BC75" s="37"/>
      <c r="BD75" s="3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34"/>
      <c r="AM76" s="34"/>
      <c r="AN76" s="34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30"/>
      <c r="AZ76" s="30"/>
      <c r="BA76" s="30"/>
      <c r="BB76" s="30"/>
      <c r="BC76" s="37"/>
      <c r="BD76" s="3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6" t="str">
        <f>IF(LEN(TRIM('4 доп.сведения'!B26))=0," ",'4 доп.сведения'!B26)</f>
        <v xml:space="preserve"> </v>
      </c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34"/>
      <c r="AM77" s="34"/>
      <c r="AN77" s="34"/>
      <c r="AO77" s="175" t="str">
        <f>IF(LEN(TRIM('4 доп.сведения'!C26))=0," ",'4 доп.сведения'!C26)</f>
        <v xml:space="preserve"> </v>
      </c>
      <c r="AP77" s="175"/>
      <c r="AQ77" s="175"/>
      <c r="AR77" s="175"/>
      <c r="AS77" s="175"/>
      <c r="AT77" s="175"/>
      <c r="AU77" s="175"/>
      <c r="AV77" s="175"/>
      <c r="AW77" s="175"/>
      <c r="AX77" s="175"/>
      <c r="AY77" s="30"/>
      <c r="AZ77" s="30"/>
      <c r="BA77" s="30"/>
      <c r="BB77" s="30"/>
      <c r="BC77" s="37"/>
      <c r="BD77" s="3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34"/>
      <c r="AM78" s="34"/>
      <c r="AN78" s="34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30"/>
      <c r="AZ78" s="30"/>
      <c r="BA78" s="30"/>
      <c r="BB78" s="30"/>
      <c r="BC78" s="37"/>
      <c r="BD78" s="3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6" t="str">
        <f>IF(LEN(TRIM('4 доп.сведения'!B27))=0," ",'4 доп.сведения'!B27)</f>
        <v xml:space="preserve"> </v>
      </c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34"/>
      <c r="AM79" s="34"/>
      <c r="AN79" s="34"/>
      <c r="AO79" s="175" t="str">
        <f>IF(LEN(TRIM('4 доп.сведения'!C27))=0," ",'4 доп.сведения'!C27)</f>
        <v xml:space="preserve"> </v>
      </c>
      <c r="AP79" s="175"/>
      <c r="AQ79" s="175"/>
      <c r="AR79" s="175"/>
      <c r="AS79" s="175"/>
      <c r="AT79" s="175"/>
      <c r="AU79" s="175"/>
      <c r="AV79" s="175"/>
      <c r="AW79" s="175"/>
      <c r="AX79" s="175"/>
      <c r="AY79" s="30"/>
      <c r="AZ79" s="30"/>
      <c r="BA79" s="30"/>
      <c r="BB79" s="30"/>
      <c r="BC79" s="40"/>
      <c r="BD79" s="40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34"/>
      <c r="AM80" s="34"/>
      <c r="AN80" s="34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30"/>
      <c r="AZ80" s="30"/>
      <c r="BA80" s="30"/>
      <c r="BB80" s="30"/>
      <c r="BC80" s="40"/>
      <c r="BD80" s="40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6" t="str">
        <f>IF(LEN(TRIM('4 доп.сведения'!B28))=0," ",'4 доп.сведения'!B28)</f>
        <v xml:space="preserve"> </v>
      </c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34"/>
      <c r="AM81" s="34"/>
      <c r="AN81" s="34"/>
      <c r="AO81" s="175" t="str">
        <f>IF(LEN(TRIM('4 доп.сведения'!C28))=0," ",'4 доп.сведения'!C28)</f>
        <v xml:space="preserve"> </v>
      </c>
      <c r="AP81" s="175"/>
      <c r="AQ81" s="175"/>
      <c r="AR81" s="175"/>
      <c r="AS81" s="175"/>
      <c r="AT81" s="175"/>
      <c r="AU81" s="175"/>
      <c r="AV81" s="175"/>
      <c r="AW81" s="175"/>
      <c r="AX81" s="175"/>
      <c r="AY81" s="30"/>
      <c r="AZ81" s="30"/>
      <c r="BA81" s="30"/>
      <c r="BB81" s="30"/>
      <c r="BC81" s="40"/>
      <c r="BD81" s="40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34"/>
      <c r="AM82" s="34"/>
      <c r="AN82" s="34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30"/>
      <c r="AZ82" s="30"/>
      <c r="BA82" s="30"/>
      <c r="BB82" s="30"/>
      <c r="BC82" s="40"/>
      <c r="BD82" s="40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6" t="str">
        <f>IF(LEN(TRIM('4 доп.сведения'!B29))=0," ",'4 доп.сведения'!B29)</f>
        <v xml:space="preserve"> </v>
      </c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34"/>
      <c r="AM83" s="34"/>
      <c r="AN83" s="34"/>
      <c r="AO83" s="175" t="str">
        <f>IF(LEN(TRIM('4 доп.сведения'!C29))=0," ",'4 доп.сведения'!C29)</f>
        <v xml:space="preserve"> </v>
      </c>
      <c r="AP83" s="175"/>
      <c r="AQ83" s="175"/>
      <c r="AR83" s="175"/>
      <c r="AS83" s="175"/>
      <c r="AT83" s="175"/>
      <c r="AU83" s="175"/>
      <c r="AV83" s="175"/>
      <c r="AW83" s="175"/>
      <c r="AX83" s="175"/>
      <c r="AY83" s="30"/>
      <c r="AZ83" s="30"/>
      <c r="BA83" s="30"/>
      <c r="BB83" s="30"/>
      <c r="BC83" s="30"/>
      <c r="BD83" s="30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34"/>
      <c r="AM84" s="34"/>
      <c r="AN84" s="34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30"/>
      <c r="AZ84" s="30"/>
      <c r="BA84" s="30"/>
      <c r="BB84" s="30"/>
      <c r="BC84" s="30"/>
      <c r="BD84" s="30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6" t="str">
        <f>IF(LEN(TRIM('4 доп.сведения'!B30))=0," ",'4 доп.сведения'!B30)</f>
        <v xml:space="preserve"> </v>
      </c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34"/>
      <c r="AM85" s="34"/>
      <c r="AN85" s="34"/>
      <c r="AO85" s="175" t="str">
        <f>IF(LEN(TRIM('4 доп.сведения'!C30))=0," ",'4 доп.сведения'!C30)</f>
        <v xml:space="preserve"> </v>
      </c>
      <c r="AP85" s="175"/>
      <c r="AQ85" s="175"/>
      <c r="AR85" s="175"/>
      <c r="AS85" s="175"/>
      <c r="AT85" s="175"/>
      <c r="AU85" s="175"/>
      <c r="AV85" s="175"/>
      <c r="AW85" s="175"/>
      <c r="AX85" s="175"/>
      <c r="AY85" s="30"/>
      <c r="AZ85" s="30"/>
      <c r="BA85" s="30"/>
      <c r="BB85" s="30"/>
      <c r="BC85" s="30"/>
      <c r="BD85" s="30"/>
      <c r="BE85" s="161" t="str">
        <f>Диплом!B3</f>
        <v>г Москва</v>
      </c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34"/>
      <c r="AM86" s="34"/>
      <c r="AN86" s="34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30"/>
      <c r="AZ86" s="30"/>
      <c r="BA86" s="30"/>
      <c r="BB86" s="30"/>
      <c r="BC86" s="30"/>
      <c r="BD86" s="30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6" t="str">
        <f>IF(LEN(TRIM('4 доп.сведения'!B31))=0," ",'4 доп.сведения'!B31)</f>
        <v xml:space="preserve"> </v>
      </c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34"/>
      <c r="AM87" s="34"/>
      <c r="AN87" s="34"/>
      <c r="AO87" s="175" t="str">
        <f>IF(LEN(TRIM('4 доп.сведения'!C31))=0," ",'4 доп.сведения'!C31)</f>
        <v xml:space="preserve"> </v>
      </c>
      <c r="AP87" s="175"/>
      <c r="AQ87" s="175"/>
      <c r="AR87" s="175"/>
      <c r="AS87" s="175"/>
      <c r="AT87" s="175"/>
      <c r="AU87" s="175"/>
      <c r="AV87" s="175"/>
      <c r="AW87" s="175"/>
      <c r="AX87" s="175"/>
      <c r="AY87" s="30"/>
      <c r="AZ87" s="30"/>
      <c r="BA87" s="30"/>
      <c r="BB87" s="30"/>
      <c r="BC87" s="30"/>
      <c r="BD87" s="30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34"/>
      <c r="AM88" s="34"/>
      <c r="AN88" s="34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30"/>
      <c r="AZ88" s="30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6" t="str">
        <f>IF(LEN(TRIM('4 доп.сведения'!B32))=0," ",'4 доп.сведения'!B32)</f>
        <v xml:space="preserve"> </v>
      </c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34"/>
      <c r="AM89" s="34"/>
      <c r="AN89" s="34"/>
      <c r="AO89" s="175" t="str">
        <f>IF(LEN(TRIM('4 доп.сведения'!C32))=0," ",'4 доп.сведения'!C32)</f>
        <v xml:space="preserve"> </v>
      </c>
      <c r="AP89" s="175"/>
      <c r="AQ89" s="175"/>
      <c r="AR89" s="175"/>
      <c r="AS89" s="175"/>
      <c r="AT89" s="175"/>
      <c r="AU89" s="175"/>
      <c r="AV89" s="175"/>
      <c r="AW89" s="175"/>
      <c r="AX89" s="175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34"/>
      <c r="AM90" s="34"/>
      <c r="AN90" s="34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1"/>
      <c r="BX90" s="161"/>
      <c r="BY90" s="161"/>
      <c r="BZ90" s="161"/>
      <c r="CA90" s="161"/>
      <c r="CB90" s="161"/>
      <c r="CC90" s="161"/>
      <c r="CD90" s="161"/>
      <c r="CE90" s="16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61"/>
      <c r="CV90" s="161"/>
      <c r="CW90" s="161"/>
      <c r="CX90" s="161"/>
      <c r="CY90" s="161"/>
      <c r="CZ90" s="161"/>
      <c r="DA90" s="161"/>
      <c r="DB90" s="161"/>
      <c r="DC90" s="161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6" t="str">
        <f>IF(LEN(TRIM('4 доп.сведения'!B33))=0," ",'4 доп.сведения'!B33)</f>
        <v xml:space="preserve"> </v>
      </c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34"/>
      <c r="AM91" s="34"/>
      <c r="AN91" s="34"/>
      <c r="AO91" s="175" t="str">
        <f>IF(LEN(TRIM('4 доп.сведения'!C33))=0," ",'4 доп.сведения'!C33)</f>
        <v xml:space="preserve"> </v>
      </c>
      <c r="AP91" s="175"/>
      <c r="AQ91" s="175"/>
      <c r="AR91" s="175"/>
      <c r="AS91" s="175"/>
      <c r="AT91" s="175"/>
      <c r="AU91" s="175"/>
      <c r="AV91" s="175"/>
      <c r="AW91" s="175"/>
      <c r="AX91" s="175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  <c r="DB91" s="161"/>
      <c r="DC91" s="161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34"/>
      <c r="AM92" s="34"/>
      <c r="AN92" s="34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1"/>
      <c r="BX92" s="161"/>
      <c r="BY92" s="161"/>
      <c r="BZ92" s="161"/>
      <c r="CA92" s="161"/>
      <c r="CB92" s="161"/>
      <c r="CC92" s="161"/>
      <c r="CD92" s="161"/>
      <c r="CE92" s="16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61"/>
      <c r="CQ92" s="161"/>
      <c r="CR92" s="161"/>
      <c r="CS92" s="161"/>
      <c r="CT92" s="161"/>
      <c r="CU92" s="161"/>
      <c r="CV92" s="161"/>
      <c r="CW92" s="161"/>
      <c r="CX92" s="161"/>
      <c r="CY92" s="161"/>
      <c r="CZ92" s="161"/>
      <c r="DA92" s="161"/>
      <c r="DB92" s="161"/>
      <c r="DC92" s="161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6" t="str">
        <f>IF(LEN(TRIM('4 доп.сведения'!B34))=0," ",'4 доп.сведения'!B34)</f>
        <v xml:space="preserve"> </v>
      </c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34"/>
      <c r="AM93" s="34"/>
      <c r="AN93" s="34"/>
      <c r="AO93" s="175" t="str">
        <f>IF(LEN(TRIM('4 доп.сведения'!C34))=0," ",'4 доп.сведения'!C34)</f>
        <v xml:space="preserve"> </v>
      </c>
      <c r="AP93" s="175"/>
      <c r="AQ93" s="175"/>
      <c r="AR93" s="175"/>
      <c r="AS93" s="175"/>
      <c r="AT93" s="175"/>
      <c r="AU93" s="175"/>
      <c r="AV93" s="175"/>
      <c r="AW93" s="175"/>
      <c r="AX93" s="175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1"/>
      <c r="BX93" s="161"/>
      <c r="BY93" s="161"/>
      <c r="BZ93" s="161"/>
      <c r="CA93" s="161"/>
      <c r="CB93" s="161"/>
      <c r="CC93" s="161"/>
      <c r="CD93" s="161"/>
      <c r="CE93" s="16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61"/>
      <c r="CQ93" s="161"/>
      <c r="CR93" s="161"/>
      <c r="CS93" s="161"/>
      <c r="CT93" s="161"/>
      <c r="CU93" s="161"/>
      <c r="CV93" s="161"/>
      <c r="CW93" s="161"/>
      <c r="CX93" s="161"/>
      <c r="CY93" s="161"/>
      <c r="CZ93" s="161"/>
      <c r="DA93" s="161"/>
      <c r="DB93" s="161"/>
      <c r="DC93" s="161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34"/>
      <c r="AM94" s="34"/>
      <c r="AN94" s="34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1"/>
      <c r="BX94" s="161"/>
      <c r="BY94" s="161"/>
      <c r="BZ94" s="161"/>
      <c r="CA94" s="161"/>
      <c r="CB94" s="161"/>
      <c r="CC94" s="161"/>
      <c r="CD94" s="161"/>
      <c r="CE94" s="16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61"/>
      <c r="CV94" s="161"/>
      <c r="CW94" s="161"/>
      <c r="CX94" s="161"/>
      <c r="CY94" s="161"/>
      <c r="CZ94" s="161"/>
      <c r="DA94" s="161"/>
      <c r="DB94" s="161"/>
      <c r="DC94" s="161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6" t="str">
        <f>IF(LEN(TRIM('4 доп.сведения'!B35))=0," ",'4 доп.сведения'!B35)</f>
        <v xml:space="preserve"> </v>
      </c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34"/>
      <c r="AM95" s="34"/>
      <c r="AN95" s="34"/>
      <c r="AO95" s="175" t="str">
        <f>IF(LEN(TRIM('4 доп.сведения'!C35))=0," ",'4 доп.сведения'!C35)</f>
        <v xml:space="preserve"> </v>
      </c>
      <c r="AP95" s="175"/>
      <c r="AQ95" s="175"/>
      <c r="AR95" s="175"/>
      <c r="AS95" s="175"/>
      <c r="AT95" s="175"/>
      <c r="AU95" s="175"/>
      <c r="AV95" s="175"/>
      <c r="AW95" s="175"/>
      <c r="AX95" s="175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1"/>
      <c r="BX95" s="161"/>
      <c r="BY95" s="161"/>
      <c r="BZ95" s="161"/>
      <c r="CA95" s="161"/>
      <c r="CB95" s="161"/>
      <c r="CC95" s="161"/>
      <c r="CD95" s="161"/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  <c r="DA95" s="161"/>
      <c r="DB95" s="161"/>
      <c r="DC95" s="161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34"/>
      <c r="AM96" s="34"/>
      <c r="AN96" s="34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  <c r="CO96" s="178"/>
      <c r="CP96" s="178"/>
      <c r="CQ96" s="178"/>
      <c r="CR96" s="178"/>
      <c r="CS96" s="178"/>
      <c r="CT96" s="178"/>
      <c r="CU96" s="178"/>
      <c r="CV96" s="178"/>
      <c r="CW96" s="178"/>
      <c r="CX96" s="178"/>
      <c r="CY96" s="178"/>
      <c r="CZ96" s="178"/>
      <c r="DA96" s="178"/>
      <c r="DB96" s="178"/>
      <c r="DC96" s="178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6" t="str">
        <f>IF(LEN(TRIM('4 доп.сведения'!B36))=0," ",'4 доп.сведения'!B36)</f>
        <v xml:space="preserve"> </v>
      </c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34"/>
      <c r="AM97" s="34"/>
      <c r="AN97" s="34"/>
      <c r="AO97" s="175" t="str">
        <f>IF(LEN(TRIM('4 доп.сведения'!C36))=0," ",'4 доп.сведения'!C36)</f>
        <v xml:space="preserve"> </v>
      </c>
      <c r="AP97" s="175"/>
      <c r="AQ97" s="175"/>
      <c r="AR97" s="175"/>
      <c r="AS97" s="175"/>
      <c r="AT97" s="175"/>
      <c r="AU97" s="175"/>
      <c r="AV97" s="175"/>
      <c r="AW97" s="175"/>
      <c r="AX97" s="175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34"/>
      <c r="AM98" s="34"/>
      <c r="AN98" s="34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  <c r="CO98" s="178"/>
      <c r="CP98" s="178"/>
      <c r="CQ98" s="178"/>
      <c r="CR98" s="178"/>
      <c r="CS98" s="178"/>
      <c r="CT98" s="178"/>
      <c r="CU98" s="178"/>
      <c r="CV98" s="178"/>
      <c r="CW98" s="178"/>
      <c r="CX98" s="178"/>
      <c r="CY98" s="178"/>
      <c r="CZ98" s="178"/>
      <c r="DA98" s="178"/>
      <c r="DB98" s="178"/>
      <c r="DC98" s="178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6" t="str">
        <f>IF(LEN(TRIM('4 доп.сведения'!B37))=0," ",'4 доп.сведения'!B37)</f>
        <v xml:space="preserve"> </v>
      </c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34"/>
      <c r="AM99" s="34"/>
      <c r="AN99" s="34"/>
      <c r="AO99" s="175" t="str">
        <f>IF(LEN(TRIM('4 доп.сведения'!C37))=0," ",'4 доп.сведения'!C37)</f>
        <v xml:space="preserve"> </v>
      </c>
      <c r="AP99" s="175"/>
      <c r="AQ99" s="175"/>
      <c r="AR99" s="175"/>
      <c r="AS99" s="175"/>
      <c r="AT99" s="175"/>
      <c r="AU99" s="175"/>
      <c r="AV99" s="175"/>
      <c r="AW99" s="175"/>
      <c r="AX99" s="175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  <c r="CO99" s="178"/>
      <c r="CP99" s="178"/>
      <c r="CQ99" s="178"/>
      <c r="CR99" s="178"/>
      <c r="CS99" s="178"/>
      <c r="CT99" s="178"/>
      <c r="CU99" s="178"/>
      <c r="CV99" s="178"/>
      <c r="CW99" s="178"/>
      <c r="CX99" s="178"/>
      <c r="CY99" s="178"/>
      <c r="CZ99" s="178"/>
      <c r="DA99" s="178"/>
      <c r="DB99" s="178"/>
      <c r="DC99" s="178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34"/>
      <c r="AM100" s="34"/>
      <c r="AN100" s="34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  <c r="CO100" s="178"/>
      <c r="CP100" s="178"/>
      <c r="CQ100" s="178"/>
      <c r="CR100" s="178"/>
      <c r="CS100" s="178"/>
      <c r="CT100" s="178"/>
      <c r="CU100" s="178"/>
      <c r="CV100" s="178"/>
      <c r="CW100" s="178"/>
      <c r="CX100" s="178"/>
      <c r="CY100" s="178"/>
      <c r="CZ100" s="178"/>
      <c r="DA100" s="178"/>
      <c r="DB100" s="178"/>
      <c r="DC100" s="178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6" t="str">
        <f>IF(LEN(TRIM('4 доп.сведения'!B38))=0," ",'4 доп.сведения'!B38)</f>
        <v xml:space="preserve"> </v>
      </c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34"/>
      <c r="AM101" s="34"/>
      <c r="AN101" s="34"/>
      <c r="AO101" s="175" t="str">
        <f>IF(LEN(TRIM('4 доп.сведения'!C38))=0," ",'4 доп.сведения'!C38)</f>
        <v xml:space="preserve"> </v>
      </c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  <c r="CO101" s="178"/>
      <c r="CP101" s="178"/>
      <c r="CQ101" s="178"/>
      <c r="CR101" s="178"/>
      <c r="CS101" s="178"/>
      <c r="CT101" s="178"/>
      <c r="CU101" s="178"/>
      <c r="CV101" s="178"/>
      <c r="CW101" s="178"/>
      <c r="CX101" s="178"/>
      <c r="CY101" s="178"/>
      <c r="CZ101" s="178"/>
      <c r="DA101" s="178"/>
      <c r="DB101" s="178"/>
      <c r="DC101" s="178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34"/>
      <c r="AM102" s="34"/>
      <c r="AN102" s="34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6" t="str">
        <f>IF(LEN(TRIM('4 доп.сведения'!B39))=0," ",'4 доп.сведения'!B39)</f>
        <v xml:space="preserve"> </v>
      </c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34"/>
      <c r="AM103" s="34"/>
      <c r="AN103" s="34"/>
      <c r="AO103" s="175" t="str">
        <f>IF(LEN(TRIM('4 доп.сведения'!C39))=0," ",'4 доп.сведения'!C39)</f>
        <v xml:space="preserve"> </v>
      </c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34"/>
      <c r="AM104" s="34"/>
      <c r="AN104" s="34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6" t="str">
        <f>IF(LEN(TRIM('4 доп.сведения'!B40))=0," ",'4 доп.сведения'!B40)</f>
        <v xml:space="preserve"> </v>
      </c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34"/>
      <c r="AM105" s="34"/>
      <c r="AN105" s="34"/>
      <c r="AO105" s="175" t="str">
        <f>IF(LEN(TRIM('4 доп.сведения'!C40))=0," ",'4 доп.сведения'!C40)</f>
        <v xml:space="preserve"> </v>
      </c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34"/>
      <c r="AM106" s="34"/>
      <c r="AN106" s="34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8" t="str">
        <f>IF(LEN(TRIM('1 Обладатель диплома'!B11))=0," ",'1 Обладатель диплома'!B11)</f>
        <v xml:space="preserve"> </v>
      </c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6" t="str">
        <f>IF(LEN(TRIM('4 доп.сведения'!B41))=0," ",'4 доп.сведения'!B41)</f>
        <v xml:space="preserve"> </v>
      </c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34"/>
      <c r="AM107" s="34"/>
      <c r="AN107" s="34"/>
      <c r="AO107" s="175" t="str">
        <f>IF(LEN(TRIM('4 доп.сведения'!C41))=0," ",'4 доп.сведения'!C41)</f>
        <v xml:space="preserve"> </v>
      </c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34"/>
      <c r="AM108" s="34"/>
      <c r="AN108" s="34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178"/>
      <c r="CT109" s="178"/>
      <c r="CU109" s="178"/>
      <c r="CV109" s="178"/>
      <c r="CW109" s="178"/>
      <c r="CX109" s="178"/>
      <c r="CY109" s="178"/>
      <c r="CZ109" s="178"/>
      <c r="DA109" s="178"/>
      <c r="DB109" s="178"/>
      <c r="DC109" s="178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8" t="str">
        <f>IF(LEN(TRIM('1 Обладатель диплома'!B14))=0," ",'1 Обладатель диплома'!B14)</f>
        <v xml:space="preserve"> </v>
      </c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  <c r="CO110" s="178"/>
      <c r="CP110" s="178"/>
      <c r="CQ110" s="178"/>
      <c r="CR110" s="178"/>
      <c r="CS110" s="178"/>
      <c r="CT110" s="178"/>
      <c r="CU110" s="178"/>
      <c r="CV110" s="178"/>
      <c r="CW110" s="178"/>
      <c r="CX110" s="178"/>
      <c r="CY110" s="178"/>
      <c r="CZ110" s="178"/>
      <c r="DA110" s="178"/>
      <c r="DB110" s="178"/>
      <c r="DC110" s="178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  <c r="CO111" s="178"/>
      <c r="CP111" s="178"/>
      <c r="CQ111" s="178"/>
      <c r="CR111" s="178"/>
      <c r="CS111" s="178"/>
      <c r="CT111" s="178"/>
      <c r="CU111" s="178"/>
      <c r="CV111" s="178"/>
      <c r="CW111" s="178"/>
      <c r="CX111" s="178"/>
      <c r="CY111" s="178"/>
      <c r="CZ111" s="178"/>
      <c r="DA111" s="178"/>
      <c r="DB111" s="178"/>
      <c r="DC111" s="178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178"/>
      <c r="CT112" s="178"/>
      <c r="CU112" s="178"/>
      <c r="CV112" s="178"/>
      <c r="CW112" s="178"/>
      <c r="CX112" s="178"/>
      <c r="CY112" s="178"/>
      <c r="CZ112" s="178"/>
      <c r="DA112" s="178"/>
      <c r="DB112" s="178"/>
      <c r="DC112" s="178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178"/>
      <c r="CT113" s="178"/>
      <c r="CU113" s="178"/>
      <c r="CV113" s="178"/>
      <c r="CW113" s="178"/>
      <c r="CX113" s="178"/>
      <c r="CY113" s="178"/>
      <c r="CZ113" s="178"/>
      <c r="DA113" s="178"/>
      <c r="DB113" s="178"/>
      <c r="DC113" s="178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178"/>
      <c r="CT114" s="178"/>
      <c r="CU114" s="178"/>
      <c r="CV114" s="178"/>
      <c r="CW114" s="178"/>
      <c r="CX114" s="178"/>
      <c r="CY114" s="178"/>
      <c r="CZ114" s="178"/>
      <c r="DA114" s="178"/>
      <c r="DB114" s="178"/>
      <c r="DC114" s="178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/>
      <c r="DB116" s="178"/>
      <c r="DC116" s="178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6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6"/>
      <c r="AY117" s="166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178"/>
      <c r="CT117" s="178"/>
      <c r="CU117" s="178"/>
      <c r="CV117" s="178"/>
      <c r="CW117" s="178"/>
      <c r="CX117" s="178"/>
      <c r="CY117" s="178"/>
      <c r="CZ117" s="178"/>
      <c r="DA117" s="178"/>
      <c r="DB117" s="178"/>
      <c r="DC117" s="178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42"/>
      <c r="BA118" s="30"/>
      <c r="BB118" s="30"/>
      <c r="BC118" s="30"/>
      <c r="BD118" s="30"/>
      <c r="BE118" s="169" t="str">
        <f>IF(Диплом!B4 ="","",Диплом!B4)</f>
        <v/>
      </c>
      <c r="BF118" s="169"/>
      <c r="BG118" s="169"/>
      <c r="BH118" s="169"/>
      <c r="BI118" s="169"/>
      <c r="BJ118" s="169"/>
      <c r="BK118" s="169"/>
      <c r="BL118" s="169"/>
      <c r="BM118" s="169"/>
      <c r="BN118" s="169"/>
      <c r="BO118" s="169"/>
      <c r="BP118" s="169"/>
      <c r="BQ118" s="169"/>
      <c r="BR118" s="169"/>
      <c r="BS118" s="169"/>
      <c r="BT118" s="169"/>
      <c r="BU118" s="41"/>
      <c r="BV118" s="41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6" t="str">
        <f>IF(LEN(TRIM('5 Доп сведения'!C4))=0," ",'5 Доп сведения'!C4)</f>
        <v>Форма обучения: очная</v>
      </c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42"/>
      <c r="BA119" s="30"/>
      <c r="BB119" s="30"/>
      <c r="BC119" s="30"/>
      <c r="BD119" s="30"/>
      <c r="BE119" s="169"/>
      <c r="BF119" s="169"/>
      <c r="BG119" s="169"/>
      <c r="BH119" s="169"/>
      <c r="BI119" s="169"/>
      <c r="BJ119" s="169"/>
      <c r="BK119" s="169"/>
      <c r="BL119" s="169"/>
      <c r="BM119" s="169"/>
      <c r="BN119" s="169"/>
      <c r="BO119" s="169"/>
      <c r="BP119" s="169"/>
      <c r="BQ119" s="169"/>
      <c r="BR119" s="169"/>
      <c r="BS119" s="169"/>
      <c r="BT119" s="169"/>
      <c r="BU119" s="41"/>
      <c r="BV119" s="41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178"/>
      <c r="CT119" s="178"/>
      <c r="CU119" s="178"/>
      <c r="CV119" s="178"/>
      <c r="CW119" s="178"/>
      <c r="CX119" s="178"/>
      <c r="CY119" s="178"/>
      <c r="CZ119" s="178"/>
      <c r="DA119" s="178"/>
      <c r="DB119" s="178"/>
      <c r="DC119" s="178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42"/>
      <c r="BA120" s="30"/>
      <c r="BB120" s="30"/>
      <c r="BC120" s="30"/>
      <c r="BD120" s="30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41"/>
      <c r="BV120" s="41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178"/>
      <c r="CT120" s="178"/>
      <c r="CU120" s="178"/>
      <c r="CV120" s="178"/>
      <c r="CW120" s="178"/>
      <c r="CX120" s="178"/>
      <c r="CY120" s="178"/>
      <c r="CZ120" s="178"/>
      <c r="DA120" s="178"/>
      <c r="DB120" s="178"/>
      <c r="DC120" s="178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6" t="str">
        <f>IF(LEN(TRIM('5 Доп сведения'!C5))=0," ",'5 Доп сведения'!C5)</f>
        <v xml:space="preserve"> </v>
      </c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42"/>
      <c r="BA121" s="30"/>
      <c r="BB121" s="30"/>
      <c r="BC121" s="30"/>
      <c r="BD121" s="30"/>
      <c r="BE121" s="169"/>
      <c r="BF121" s="169"/>
      <c r="BG121" s="169"/>
      <c r="BH121" s="169"/>
      <c r="BI121" s="169"/>
      <c r="BJ121" s="169"/>
      <c r="BK121" s="169"/>
      <c r="BL121" s="169"/>
      <c r="BM121" s="169"/>
      <c r="BN121" s="169"/>
      <c r="BO121" s="169"/>
      <c r="BP121" s="169"/>
      <c r="BQ121" s="169"/>
      <c r="BR121" s="169"/>
      <c r="BS121" s="169"/>
      <c r="BT121" s="169"/>
      <c r="BU121" s="41"/>
      <c r="BV121" s="41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178"/>
      <c r="CT121" s="178"/>
      <c r="CU121" s="178"/>
      <c r="CV121" s="178"/>
      <c r="CW121" s="178"/>
      <c r="CX121" s="178"/>
      <c r="CY121" s="178"/>
      <c r="CZ121" s="178"/>
      <c r="DA121" s="178"/>
      <c r="DB121" s="178"/>
      <c r="DC121" s="178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178"/>
      <c r="DB122" s="178"/>
      <c r="DC122" s="178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6" t="str">
        <f>IF(LEN(TRIM('5 Доп сведения'!C6))=0," ",'5 Доп сведения'!C6)</f>
        <v xml:space="preserve"> </v>
      </c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8"/>
      <c r="DA123" s="178"/>
      <c r="DB123" s="178"/>
      <c r="DC123" s="178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6" t="str">
        <f>IF(LEN(TRIM('5 Доп сведения'!C7))=0," ",'5 Доп сведения'!C7)</f>
        <v xml:space="preserve"> </v>
      </c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6" t="str">
        <f>IF(LEN(TRIM('5 Доп сведения'!C8))=0," ",'5 Доп сведения'!C8)</f>
        <v xml:space="preserve"> </v>
      </c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6" t="str">
        <f>IF(LEN(TRIM('5 Доп сведения'!C9))=0," ",'5 Доп сведения'!C9)</f>
        <v xml:space="preserve"> </v>
      </c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42"/>
      <c r="BA129" s="30"/>
      <c r="BB129" s="30"/>
      <c r="BC129" s="30"/>
      <c r="BD129" s="30"/>
      <c r="BE129" s="161" t="str">
        <f>Диплом!B5 &amp;" " &amp;Диплом!B6</f>
        <v xml:space="preserve">бакалавра </v>
      </c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42"/>
      <c r="BA130" s="30"/>
      <c r="BB130" s="30"/>
      <c r="BC130" s="30"/>
      <c r="BD130" s="30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6" t="str">
        <f>IF(LEN(TRIM('5 Доп сведения'!C10))=0," ",'5 Доп сведения'!C10)</f>
        <v xml:space="preserve"> </v>
      </c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44"/>
      <c r="BA131" s="30"/>
      <c r="BB131" s="30"/>
      <c r="BC131" s="30"/>
      <c r="BD131" s="30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6" t="str">
        <f>IF(LEN(TRIM('5 Доп сведения'!C11))=0," ",'5 Доп сведения'!C11)</f>
        <v xml:space="preserve"> </v>
      </c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6" t="str">
        <f>IF(LEN(TRIM('5 Доп сведения'!C12))=0," ",'5 Доп сведения'!C12)</f>
        <v xml:space="preserve"> </v>
      </c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30"/>
      <c r="BA136" s="30"/>
      <c r="BB136" s="30"/>
      <c r="BC136" s="40"/>
      <c r="BD136" s="40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6" t="str">
        <f>IF(LEN(TRIM('5 Доп сведения'!C13))=0," ",'5 Доп сведения'!C13)</f>
        <v xml:space="preserve"> </v>
      </c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30"/>
      <c r="BA137" s="30"/>
      <c r="BB137" s="30"/>
      <c r="BC137" s="40"/>
      <c r="BD137" s="40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30"/>
      <c r="BA138" s="30"/>
      <c r="BB138" s="30"/>
      <c r="BC138" s="40"/>
      <c r="BD138" s="40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0" t="str">
        <f>Диплом!B9</f>
        <v>А.А. Марголис</v>
      </c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0"/>
      <c r="AG149" s="180"/>
      <c r="AH149" s="180"/>
      <c r="AI149" s="180"/>
      <c r="AJ149" s="180"/>
      <c r="AK149" s="180"/>
      <c r="AL149" s="180"/>
      <c r="AM149" s="180"/>
      <c r="AN149" s="180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0"/>
      <c r="AG151" s="180"/>
      <c r="AH151" s="180"/>
      <c r="AI151" s="180"/>
      <c r="AJ151" s="180"/>
      <c r="AK151" s="180"/>
      <c r="AL151" s="180"/>
      <c r="AM151" s="180"/>
      <c r="AN151" s="180"/>
      <c r="AO151" s="180"/>
      <c r="AP151" s="180"/>
      <c r="AQ151" s="180"/>
      <c r="AR151" s="180"/>
      <c r="AS151" s="180"/>
      <c r="AT151" s="180"/>
      <c r="AU151" s="180"/>
      <c r="AV151" s="180"/>
      <c r="AW151" s="180"/>
      <c r="AX151" s="180"/>
      <c r="AY151" s="180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1" t="str">
        <f>Диплом!B7</f>
        <v>XXXX/Б24</v>
      </c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9" t="str">
        <f>'1 Обладатель диплома'!B17 &amp;" "&amp;'1 Обладатель диплома'!B18&amp;" "&amp;'1 Обладатель диплома'!B19&amp;" "&amp;'1 Обладатель диплома'!B20</f>
        <v xml:space="preserve">   </v>
      </c>
      <c r="BX156" s="169"/>
      <c r="BY156" s="169"/>
      <c r="BZ156" s="169"/>
      <c r="CA156" s="169"/>
      <c r="CB156" s="169"/>
      <c r="CC156" s="169"/>
      <c r="CD156" s="169"/>
      <c r="CE156" s="169"/>
      <c r="CF156" s="169"/>
      <c r="CG156" s="169"/>
      <c r="CH156" s="169"/>
      <c r="CI156" s="169"/>
      <c r="CJ156" s="169"/>
      <c r="CK156" s="169"/>
      <c r="CL156" s="169"/>
      <c r="CM156" s="169"/>
      <c r="CN156" s="169"/>
      <c r="CO156" s="169"/>
      <c r="CP156" s="169"/>
      <c r="CQ156" s="169"/>
      <c r="CR156" s="169"/>
      <c r="CS156" s="169"/>
      <c r="CT156" s="169"/>
      <c r="CU156" s="169"/>
      <c r="CV156" s="169"/>
      <c r="CW156" s="169"/>
      <c r="CX156" s="169"/>
      <c r="CY156" s="169"/>
      <c r="CZ156" s="169"/>
      <c r="DA156" s="169"/>
      <c r="DB156" s="169"/>
      <c r="DC156" s="169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9"/>
      <c r="BX157" s="169"/>
      <c r="BY157" s="169"/>
      <c r="BZ157" s="169"/>
      <c r="CA157" s="169"/>
      <c r="CB157" s="169"/>
      <c r="CC157" s="169"/>
      <c r="CD157" s="169"/>
      <c r="CE157" s="169"/>
      <c r="CF157" s="169"/>
      <c r="CG157" s="169"/>
      <c r="CH157" s="169"/>
      <c r="CI157" s="169"/>
      <c r="CJ157" s="169"/>
      <c r="CK157" s="169"/>
      <c r="CL157" s="169"/>
      <c r="CM157" s="169"/>
      <c r="CN157" s="169"/>
      <c r="CO157" s="169"/>
      <c r="CP157" s="169"/>
      <c r="CQ157" s="169"/>
      <c r="CR157" s="169"/>
      <c r="CS157" s="169"/>
      <c r="CT157" s="169"/>
      <c r="CU157" s="169"/>
      <c r="CV157" s="169"/>
      <c r="CW157" s="169"/>
      <c r="CX157" s="169"/>
      <c r="CY157" s="169"/>
      <c r="CZ157" s="169"/>
      <c r="DA157" s="169"/>
      <c r="DB157" s="169"/>
      <c r="DC157" s="169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9"/>
      <c r="BX158" s="169"/>
      <c r="BY158" s="169"/>
      <c r="BZ158" s="169"/>
      <c r="CA158" s="169"/>
      <c r="CB158" s="169"/>
      <c r="CC158" s="169"/>
      <c r="CD158" s="169"/>
      <c r="CE158" s="169"/>
      <c r="CF158" s="169"/>
      <c r="CG158" s="169"/>
      <c r="CH158" s="169"/>
      <c r="CI158" s="169"/>
      <c r="CJ158" s="169"/>
      <c r="CK158" s="169"/>
      <c r="CL158" s="169"/>
      <c r="CM158" s="169"/>
      <c r="CN158" s="169"/>
      <c r="CO158" s="169"/>
      <c r="CP158" s="169"/>
      <c r="CQ158" s="169"/>
      <c r="CR158" s="169"/>
      <c r="CS158" s="169"/>
      <c r="CT158" s="169"/>
      <c r="CU158" s="169"/>
      <c r="CV158" s="169"/>
      <c r="CW158" s="169"/>
      <c r="CX158" s="169"/>
      <c r="CY158" s="169"/>
      <c r="CZ158" s="169"/>
      <c r="DA158" s="169"/>
      <c r="DB158" s="169"/>
      <c r="DC158" s="169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9"/>
      <c r="BX159" s="169"/>
      <c r="BY159" s="169"/>
      <c r="BZ159" s="169"/>
      <c r="CA159" s="169"/>
      <c r="CB159" s="169"/>
      <c r="CC159" s="169"/>
      <c r="CD159" s="169"/>
      <c r="CE159" s="169"/>
      <c r="CF159" s="169"/>
      <c r="CG159" s="169"/>
      <c r="CH159" s="169"/>
      <c r="CI159" s="169"/>
      <c r="CJ159" s="169"/>
      <c r="CK159" s="169"/>
      <c r="CL159" s="169"/>
      <c r="CM159" s="169"/>
      <c r="CN159" s="169"/>
      <c r="CO159" s="169"/>
      <c r="CP159" s="169"/>
      <c r="CQ159" s="169"/>
      <c r="CR159" s="169"/>
      <c r="CS159" s="169"/>
      <c r="CT159" s="169"/>
      <c r="CU159" s="169"/>
      <c r="CV159" s="169"/>
      <c r="CW159" s="169"/>
      <c r="CX159" s="169"/>
      <c r="CY159" s="169"/>
      <c r="CZ159" s="169"/>
      <c r="DA159" s="169"/>
      <c r="DB159" s="169"/>
      <c r="DC159" s="169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9" t="str">
        <f>Диплом!B8</f>
        <v>XX июня 2024 года</v>
      </c>
      <c r="BF165" s="179"/>
      <c r="BG165" s="179"/>
      <c r="BH165" s="179"/>
      <c r="BI165" s="179"/>
      <c r="BJ165" s="179"/>
      <c r="BK165" s="179"/>
      <c r="BL165" s="179"/>
      <c r="BM165" s="179"/>
      <c r="BN165" s="179"/>
      <c r="BO165" s="179"/>
      <c r="BP165" s="179"/>
      <c r="BQ165" s="179"/>
      <c r="BR165" s="179"/>
      <c r="BS165" s="179"/>
      <c r="BT165" s="179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9"/>
      <c r="BF166" s="179"/>
      <c r="BG166" s="179"/>
      <c r="BH166" s="179"/>
      <c r="BI166" s="179"/>
      <c r="BJ166" s="179"/>
      <c r="BK166" s="179"/>
      <c r="BL166" s="179"/>
      <c r="BM166" s="179"/>
      <c r="BN166" s="179"/>
      <c r="BO166" s="179"/>
      <c r="BP166" s="179"/>
      <c r="BQ166" s="179"/>
      <c r="BR166" s="179"/>
      <c r="BS166" s="179"/>
      <c r="BT166" s="179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9"/>
      <c r="BF167" s="179"/>
      <c r="BG167" s="179"/>
      <c r="BH167" s="179"/>
      <c r="BI167" s="179"/>
      <c r="BJ167" s="179"/>
      <c r="BK167" s="179"/>
      <c r="BL167" s="179"/>
      <c r="BM167" s="179"/>
      <c r="BN167" s="179"/>
      <c r="BO167" s="179"/>
      <c r="BP167" s="179"/>
      <c r="BQ167" s="179"/>
      <c r="BR167" s="179"/>
      <c r="BS167" s="179"/>
      <c r="BT167" s="17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password="DBF4" sheet="1" objects="1" scenarios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Дисциплина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3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отлично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3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отлично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3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отлично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3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отлично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3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отлично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3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отлично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3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отлично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 xml:space="preserve">2 з.е 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отлично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27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2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отлично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3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отлично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18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отлично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2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отлично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3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отлично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14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отлично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18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отлично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2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отлично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18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отлично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2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отлично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18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отлично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2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отлично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9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2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отлично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3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отлично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3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отлично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2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отлично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отлично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4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отлично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10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отлично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4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отлично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526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4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отлично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3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отлично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отлично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6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отлично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2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отлично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отлично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6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отлично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5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отлично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4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отлично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3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отлично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7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отлично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7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отлично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12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отлично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6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отлично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3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отлично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3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отлично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3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отлично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3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отлично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3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отлично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3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отлично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3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отлично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3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отлично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3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отлично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3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отлично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3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отлично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3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отлично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3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отлично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3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отлично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3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отлично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3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отлично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3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отлично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3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отлично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3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отлично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3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отлично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3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отлично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3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отлично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3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отлично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3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отлично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3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отлично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3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отлично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3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отлично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3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отлично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3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отлично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3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отлично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3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отлично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3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отлично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3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отлично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3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отлично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3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отлично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3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отлично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Лицевая24</vt:lpstr>
      <vt:lpstr>Оборотная24</vt:lpstr>
      <vt:lpstr>Лицевая (2)</vt:lpstr>
      <vt:lpstr>Оборотная (2)</vt:lpstr>
      <vt:lpstr>Лицевая24!Область_печати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2024-05-23T13:40:49Z</dcterms:modified>
</cp:coreProperties>
</file>