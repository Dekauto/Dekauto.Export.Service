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showInkAnnotation="0" codeName="ЭтаКнига" defaultThemeVersion="124226"/>
  <bookViews>
    <workbookView xWindow="0" yWindow="0" windowWidth="12930" windowHeight="5655" tabRatio="755" firstSheet="3" activeTab="8"/>
  </bookViews>
  <sheets>
    <sheet name="Диплом" sheetId="3" r:id="rId1"/>
    <sheet name="1 Обладатель диплома" sheetId="2" r:id="rId2"/>
    <sheet name="3 Освоение программы" sheetId="5" r:id="rId3"/>
    <sheet name="4 доп.сведения" sheetId="6" r:id="rId4"/>
    <sheet name="5 Доп сведения" sheetId="7" state="hidden" r:id="rId5"/>
    <sheet name=" Лицевая 04" sheetId="15" r:id="rId6"/>
    <sheet name="Лист1" sheetId="16" r:id="rId7"/>
    <sheet name="Лист2" sheetId="17" r:id="rId8"/>
    <sheet name="Оборотная24" sheetId="10" r:id="rId9"/>
    <sheet name="Лицевая (2)" sheetId="14" state="hidden" r:id="rId10"/>
    <sheet name="Оборотная (2)" sheetId="13" state="hidden" r:id="rId11"/>
  </sheets>
  <definedNames>
    <definedName name="_xlnm.Print_Area" localSheetId="5">' Лицевая 04'!$A$1:$DC$156</definedName>
    <definedName name="_xlnm.Print_Area" localSheetId="8">Оборотная24!$A$1:$AZ$81</definedName>
  </definedNames>
  <calcPr calcId="162913" refMode="R1C1"/>
</workbook>
</file>

<file path=xl/calcChain.xml><?xml version="1.0" encoding="utf-8"?>
<calcChain xmlns="http://schemas.openxmlformats.org/spreadsheetml/2006/main">
  <c r="BE120" i="15" l="1"/>
  <c r="AV14" i="10" l="1"/>
  <c r="V78" i="10" l="1"/>
  <c r="V79" i="10"/>
  <c r="V80" i="10"/>
  <c r="V81" i="10"/>
  <c r="Q78" i="10"/>
  <c r="Q79" i="10"/>
  <c r="Q80" i="10"/>
  <c r="Q81" i="10"/>
  <c r="B80" i="10"/>
  <c r="B81" i="10"/>
  <c r="V16" i="10" l="1"/>
  <c r="B22" i="15" l="1"/>
  <c r="AE15" i="10" l="1"/>
  <c r="AE16" i="10"/>
  <c r="AE14" i="10"/>
  <c r="Q16" i="10"/>
  <c r="B25" i="15"/>
  <c r="B16" i="10"/>
  <c r="B18" i="10"/>
  <c r="B17" i="10"/>
  <c r="CF23" i="15"/>
  <c r="B19" i="15" l="1"/>
  <c r="B34" i="15"/>
  <c r="B37" i="15"/>
  <c r="AD132" i="15"/>
  <c r="BE154" i="15"/>
  <c r="BV146" i="15"/>
  <c r="CF49" i="15" l="1"/>
  <c r="CF35" i="15"/>
  <c r="AE17" i="10" l="1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45" i="10"/>
  <c r="AE46" i="10"/>
  <c r="AE47" i="10"/>
  <c r="AE48" i="10"/>
  <c r="AE49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Q17" i="10"/>
  <c r="V17" i="10"/>
  <c r="Q18" i="10"/>
  <c r="V18" i="10"/>
  <c r="A19" i="10"/>
  <c r="Q19" i="10"/>
  <c r="V19" i="10"/>
  <c r="B20" i="10"/>
  <c r="Q20" i="10"/>
  <c r="V20" i="10"/>
  <c r="B21" i="10"/>
  <c r="Q21" i="10"/>
  <c r="V21" i="10"/>
  <c r="B22" i="10"/>
  <c r="Q22" i="10"/>
  <c r="V22" i="10"/>
  <c r="B23" i="10"/>
  <c r="Q23" i="10"/>
  <c r="V23" i="10"/>
  <c r="B24" i="10"/>
  <c r="Q24" i="10"/>
  <c r="V24" i="10"/>
  <c r="B25" i="10"/>
  <c r="Q25" i="10"/>
  <c r="V25" i="10"/>
  <c r="B26" i="10"/>
  <c r="Q26" i="10"/>
  <c r="V26" i="10"/>
  <c r="B27" i="10"/>
  <c r="Q27" i="10"/>
  <c r="V27" i="10"/>
  <c r="B28" i="10"/>
  <c r="Q28" i="10"/>
  <c r="V28" i="10"/>
  <c r="B29" i="10"/>
  <c r="Q29" i="10"/>
  <c r="V29" i="10"/>
  <c r="B30" i="10"/>
  <c r="Q30" i="10"/>
  <c r="V30" i="10"/>
  <c r="B31" i="10"/>
  <c r="Q31" i="10"/>
  <c r="V31" i="10"/>
  <c r="B32" i="10"/>
  <c r="Q32" i="10"/>
  <c r="V32" i="10"/>
  <c r="B33" i="10"/>
  <c r="Q33" i="10"/>
  <c r="V33" i="10"/>
  <c r="B34" i="10"/>
  <c r="Q34" i="10"/>
  <c r="V34" i="10"/>
  <c r="B35" i="10"/>
  <c r="Q35" i="10"/>
  <c r="V35" i="10"/>
  <c r="B36" i="10"/>
  <c r="Q36" i="10"/>
  <c r="V36" i="10"/>
  <c r="B37" i="10"/>
  <c r="Q37" i="10"/>
  <c r="V37" i="10"/>
  <c r="B38" i="10"/>
  <c r="Q38" i="10"/>
  <c r="V38" i="10"/>
  <c r="B39" i="10"/>
  <c r="Q39" i="10"/>
  <c r="V39" i="10"/>
  <c r="B40" i="10"/>
  <c r="Q40" i="10"/>
  <c r="V40" i="10"/>
  <c r="B41" i="10"/>
  <c r="Q41" i="10"/>
  <c r="V41" i="10"/>
  <c r="B42" i="10"/>
  <c r="Q42" i="10"/>
  <c r="V42" i="10"/>
  <c r="B43" i="10"/>
  <c r="Q43" i="10"/>
  <c r="V43" i="10"/>
  <c r="B44" i="10"/>
  <c r="Q44" i="10"/>
  <c r="V44" i="10"/>
  <c r="B45" i="10"/>
  <c r="Q45" i="10"/>
  <c r="V45" i="10"/>
  <c r="B46" i="10"/>
  <c r="Q46" i="10"/>
  <c r="V46" i="10"/>
  <c r="B47" i="10"/>
  <c r="Q47" i="10"/>
  <c r="V47" i="10"/>
  <c r="B48" i="10"/>
  <c r="Q48" i="10"/>
  <c r="V48" i="10"/>
  <c r="B49" i="10"/>
  <c r="Q49" i="10"/>
  <c r="V49" i="10"/>
  <c r="B50" i="10"/>
  <c r="Q50" i="10"/>
  <c r="V50" i="10"/>
  <c r="B51" i="10"/>
  <c r="Q51" i="10"/>
  <c r="V51" i="10"/>
  <c r="B52" i="10"/>
  <c r="Q52" i="10"/>
  <c r="V52" i="10"/>
  <c r="B53" i="10"/>
  <c r="Q53" i="10"/>
  <c r="V53" i="10"/>
  <c r="B54" i="10"/>
  <c r="Q54" i="10"/>
  <c r="V54" i="10"/>
  <c r="B55" i="10"/>
  <c r="Q55" i="10"/>
  <c r="V55" i="10"/>
  <c r="B56" i="10"/>
  <c r="Q56" i="10"/>
  <c r="V56" i="10"/>
  <c r="B57" i="10"/>
  <c r="Q57" i="10"/>
  <c r="V57" i="10"/>
  <c r="B58" i="10"/>
  <c r="Q58" i="10"/>
  <c r="V58" i="10"/>
  <c r="B59" i="10"/>
  <c r="Q59" i="10"/>
  <c r="V59" i="10"/>
  <c r="B60" i="10"/>
  <c r="Q60" i="10"/>
  <c r="V60" i="10"/>
  <c r="B61" i="10"/>
  <c r="Q61" i="10"/>
  <c r="V61" i="10"/>
  <c r="B62" i="10"/>
  <c r="Q62" i="10"/>
  <c r="V62" i="10"/>
  <c r="B63" i="10"/>
  <c r="Q63" i="10"/>
  <c r="V63" i="10"/>
  <c r="B64" i="10"/>
  <c r="Q64" i="10"/>
  <c r="V64" i="10"/>
  <c r="B65" i="10"/>
  <c r="Q65" i="10"/>
  <c r="V65" i="10"/>
  <c r="B66" i="10"/>
  <c r="Q66" i="10"/>
  <c r="V66" i="10"/>
  <c r="B67" i="10"/>
  <c r="Q67" i="10"/>
  <c r="V67" i="10"/>
  <c r="B68" i="10"/>
  <c r="Q68" i="10"/>
  <c r="V68" i="10"/>
  <c r="B69" i="10"/>
  <c r="Q69" i="10"/>
  <c r="V69" i="10"/>
  <c r="B70" i="10"/>
  <c r="Q70" i="10"/>
  <c r="V70" i="10"/>
  <c r="B71" i="10"/>
  <c r="Q71" i="10"/>
  <c r="V71" i="10"/>
  <c r="B72" i="10"/>
  <c r="Q72" i="10"/>
  <c r="V72" i="10"/>
  <c r="B73" i="10"/>
  <c r="Q73" i="10"/>
  <c r="V73" i="10"/>
  <c r="B74" i="10"/>
  <c r="Q74" i="10"/>
  <c r="V74" i="10"/>
  <c r="B75" i="10"/>
  <c r="Q75" i="10"/>
  <c r="V75" i="10"/>
  <c r="B76" i="10"/>
  <c r="Q76" i="10"/>
  <c r="V76" i="10"/>
  <c r="B77" i="10"/>
  <c r="Q77" i="10"/>
  <c r="V77" i="10"/>
  <c r="B78" i="10"/>
  <c r="B79" i="10"/>
  <c r="D137" i="15"/>
  <c r="D135" i="15"/>
  <c r="D127" i="15"/>
  <c r="D125" i="15"/>
  <c r="AP123" i="15"/>
  <c r="D123" i="15"/>
  <c r="AP119" i="15"/>
  <c r="D119" i="15"/>
  <c r="C16" i="15"/>
  <c r="B40" i="15"/>
  <c r="B43" i="15"/>
  <c r="C46" i="15"/>
  <c r="C49" i="15"/>
  <c r="AP96" i="15" l="1"/>
  <c r="D96" i="15"/>
  <c r="AP94" i="15"/>
  <c r="D94" i="15"/>
  <c r="AP92" i="15"/>
  <c r="D92" i="15"/>
  <c r="C88" i="15"/>
  <c r="C85" i="15"/>
  <c r="C82" i="15"/>
  <c r="C79" i="15"/>
  <c r="C76" i="15"/>
  <c r="C73" i="15"/>
  <c r="C70" i="15"/>
  <c r="CF62" i="15"/>
  <c r="BE142" i="15"/>
  <c r="BE45" i="15"/>
  <c r="AV81" i="10" l="1"/>
  <c r="AV80" i="10"/>
  <c r="AV79" i="10"/>
  <c r="AV78" i="10"/>
  <c r="AV77" i="10"/>
  <c r="AV76" i="10"/>
  <c r="AV75" i="10"/>
  <c r="AV74" i="10"/>
  <c r="AV73" i="10"/>
  <c r="AV72" i="10"/>
  <c r="AV71" i="10"/>
  <c r="AV70" i="10"/>
  <c r="AV69" i="10"/>
  <c r="AV68" i="10"/>
  <c r="AV67" i="10"/>
  <c r="AV66" i="10"/>
  <c r="AV65" i="10"/>
  <c r="AV64" i="10"/>
  <c r="AV63" i="10"/>
  <c r="AV62" i="10"/>
  <c r="AV61" i="10"/>
  <c r="AV60" i="10"/>
  <c r="AV59" i="10"/>
  <c r="AV58" i="10"/>
  <c r="AV57" i="10"/>
  <c r="AV56" i="10"/>
  <c r="AV55" i="10"/>
  <c r="AV54" i="10"/>
  <c r="AV53" i="10"/>
  <c r="AV52" i="10"/>
  <c r="AV51" i="10"/>
  <c r="AV50" i="10"/>
  <c r="AV49" i="10"/>
  <c r="AV48" i="10"/>
  <c r="AV47" i="10"/>
  <c r="AV46" i="10"/>
  <c r="AV45" i="10"/>
  <c r="AV44" i="10"/>
  <c r="AV43" i="10"/>
  <c r="AV42" i="10"/>
  <c r="AV41" i="10"/>
  <c r="AV40" i="10"/>
  <c r="AR40" i="10"/>
  <c r="AR41" i="10"/>
  <c r="AR42" i="10"/>
  <c r="AR43" i="10"/>
  <c r="AR44" i="10"/>
  <c r="AR45" i="10"/>
  <c r="AR46" i="10"/>
  <c r="AR47" i="10"/>
  <c r="AR48" i="10"/>
  <c r="AR49" i="10"/>
  <c r="AR50" i="10"/>
  <c r="AR51" i="10"/>
  <c r="AR52" i="10"/>
  <c r="AR53" i="10"/>
  <c r="AR54" i="10"/>
  <c r="AR55" i="10"/>
  <c r="AR56" i="10"/>
  <c r="AR57" i="10"/>
  <c r="AR58" i="10"/>
  <c r="AR59" i="10"/>
  <c r="AR60" i="10"/>
  <c r="AR61" i="10"/>
  <c r="AR62" i="10"/>
  <c r="AR63" i="10"/>
  <c r="AR64" i="10"/>
  <c r="AR65" i="10"/>
  <c r="AR66" i="10"/>
  <c r="AR67" i="10"/>
  <c r="AR68" i="10"/>
  <c r="AR69" i="10"/>
  <c r="AR70" i="10"/>
  <c r="AR71" i="10"/>
  <c r="AR72" i="10"/>
  <c r="AR73" i="10"/>
  <c r="AR74" i="10"/>
  <c r="AR75" i="10"/>
  <c r="AR76" i="10"/>
  <c r="AR77" i="10"/>
  <c r="AR78" i="10"/>
  <c r="AR79" i="10"/>
  <c r="AR80" i="10"/>
  <c r="AR81" i="10"/>
  <c r="AE73" i="10"/>
  <c r="AE74" i="10"/>
  <c r="AE75" i="10"/>
  <c r="AE76" i="10"/>
  <c r="AE77" i="10"/>
  <c r="AE78" i="10"/>
  <c r="AE79" i="10"/>
  <c r="AE80" i="10"/>
  <c r="AE81" i="10"/>
  <c r="BV79" i="15" l="1"/>
  <c r="D2" i="6" l="1"/>
  <c r="AP106" i="15" l="1"/>
  <c r="D106" i="15"/>
  <c r="AP104" i="15"/>
  <c r="D104" i="15"/>
  <c r="AP102" i="15"/>
  <c r="D102" i="15"/>
  <c r="AP98" i="15"/>
  <c r="D98" i="15"/>
  <c r="BE87" i="15"/>
  <c r="CF42" i="14"/>
  <c r="CF28" i="14"/>
  <c r="CF35" i="14"/>
  <c r="BE129" i="14"/>
  <c r="BE118" i="14"/>
  <c r="E137" i="14"/>
  <c r="BW106" i="14"/>
  <c r="AW80" i="13"/>
  <c r="AR80" i="13"/>
  <c r="AE80" i="13"/>
  <c r="U80" i="13"/>
  <c r="P80" i="13"/>
  <c r="C80" i="13"/>
  <c r="AW79" i="13"/>
  <c r="AR79" i="13"/>
  <c r="AE79" i="13"/>
  <c r="U79" i="13"/>
  <c r="P79" i="13"/>
  <c r="C79" i="13"/>
  <c r="AW78" i="13"/>
  <c r="AR78" i="13"/>
  <c r="AE78" i="13"/>
  <c r="U78" i="13"/>
  <c r="P78" i="13"/>
  <c r="C78" i="13"/>
  <c r="AW77" i="13"/>
  <c r="AR77" i="13"/>
  <c r="AE77" i="13"/>
  <c r="U77" i="13"/>
  <c r="P77" i="13"/>
  <c r="C77" i="13"/>
  <c r="AW76" i="13"/>
  <c r="AR76" i="13"/>
  <c r="AE76" i="13"/>
  <c r="U76" i="13"/>
  <c r="P76" i="13"/>
  <c r="C76" i="13"/>
  <c r="AW75" i="13"/>
  <c r="AR75" i="13"/>
  <c r="AE75" i="13"/>
  <c r="U75" i="13"/>
  <c r="P75" i="13"/>
  <c r="C75" i="13"/>
  <c r="AW74" i="13"/>
  <c r="AR74" i="13"/>
  <c r="AE74" i="13"/>
  <c r="U74" i="13"/>
  <c r="P74" i="13"/>
  <c r="C74" i="13"/>
  <c r="AW73" i="13"/>
  <c r="AR73" i="13"/>
  <c r="AE73" i="13"/>
  <c r="U73" i="13"/>
  <c r="P73" i="13"/>
  <c r="C73" i="13"/>
  <c r="AW72" i="13"/>
  <c r="AR72" i="13"/>
  <c r="AE72" i="13"/>
  <c r="U72" i="13"/>
  <c r="P72" i="13"/>
  <c r="C72" i="13"/>
  <c r="AW71" i="13"/>
  <c r="AR71" i="13"/>
  <c r="AE71" i="13"/>
  <c r="U71" i="13"/>
  <c r="P71" i="13"/>
  <c r="C71" i="13"/>
  <c r="AW70" i="13"/>
  <c r="AR70" i="13"/>
  <c r="AE70" i="13"/>
  <c r="U70" i="13"/>
  <c r="P70" i="13"/>
  <c r="C70" i="13"/>
  <c r="AW69" i="13"/>
  <c r="AR69" i="13"/>
  <c r="AE69" i="13"/>
  <c r="U69" i="13"/>
  <c r="P69" i="13"/>
  <c r="C69" i="13"/>
  <c r="AW68" i="13"/>
  <c r="AR68" i="13"/>
  <c r="AE68" i="13"/>
  <c r="U68" i="13"/>
  <c r="P68" i="13"/>
  <c r="C68" i="13"/>
  <c r="AW67" i="13"/>
  <c r="AR67" i="13"/>
  <c r="AE67" i="13"/>
  <c r="U67" i="13"/>
  <c r="P67" i="13"/>
  <c r="C67" i="13"/>
  <c r="AW66" i="13"/>
  <c r="AR66" i="13"/>
  <c r="AE66" i="13"/>
  <c r="U66" i="13"/>
  <c r="P66" i="13"/>
  <c r="C66" i="13"/>
  <c r="AW65" i="13"/>
  <c r="AR65" i="13"/>
  <c r="AE65" i="13"/>
  <c r="U65" i="13"/>
  <c r="P65" i="13"/>
  <c r="C65" i="13"/>
  <c r="AW64" i="13"/>
  <c r="AR64" i="13"/>
  <c r="AE64" i="13"/>
  <c r="U64" i="13"/>
  <c r="P64" i="13"/>
  <c r="C64" i="13"/>
  <c r="AW63" i="13"/>
  <c r="AR63" i="13"/>
  <c r="AE63" i="13"/>
  <c r="U63" i="13"/>
  <c r="P63" i="13"/>
  <c r="C63" i="13"/>
  <c r="AW62" i="13"/>
  <c r="AR62" i="13"/>
  <c r="AE62" i="13"/>
  <c r="U62" i="13"/>
  <c r="P62" i="13"/>
  <c r="C62" i="13"/>
  <c r="AW61" i="13"/>
  <c r="AR61" i="13"/>
  <c r="AE61" i="13"/>
  <c r="U61" i="13"/>
  <c r="P61" i="13"/>
  <c r="C61" i="13"/>
  <c r="AW60" i="13"/>
  <c r="AR60" i="13"/>
  <c r="AE60" i="13"/>
  <c r="U60" i="13"/>
  <c r="P60" i="13"/>
  <c r="C60" i="13"/>
  <c r="AW59" i="13"/>
  <c r="AR59" i="13"/>
  <c r="AE59" i="13"/>
  <c r="U59" i="13"/>
  <c r="P59" i="13"/>
  <c r="C59" i="13"/>
  <c r="AW58" i="13"/>
  <c r="AR58" i="13"/>
  <c r="AE58" i="13"/>
  <c r="U58" i="13"/>
  <c r="P58" i="13"/>
  <c r="C58" i="13"/>
  <c r="AW57" i="13"/>
  <c r="AR57" i="13"/>
  <c r="AE57" i="13"/>
  <c r="U57" i="13"/>
  <c r="P57" i="13"/>
  <c r="C57" i="13"/>
  <c r="AW56" i="13"/>
  <c r="AR56" i="13"/>
  <c r="AE56" i="13"/>
  <c r="U56" i="13"/>
  <c r="P56" i="13"/>
  <c r="C56" i="13"/>
  <c r="AW55" i="13"/>
  <c r="AR55" i="13"/>
  <c r="AE55" i="13"/>
  <c r="U55" i="13"/>
  <c r="P55" i="13"/>
  <c r="C55" i="13"/>
  <c r="AW54" i="13"/>
  <c r="AR54" i="13"/>
  <c r="AE54" i="13"/>
  <c r="U54" i="13"/>
  <c r="P54" i="13"/>
  <c r="C54" i="13"/>
  <c r="AW53" i="13"/>
  <c r="AR53" i="13"/>
  <c r="AE53" i="13"/>
  <c r="U53" i="13"/>
  <c r="P53" i="13"/>
  <c r="C53" i="13"/>
  <c r="AW52" i="13"/>
  <c r="AR52" i="13"/>
  <c r="AE52" i="13"/>
  <c r="U52" i="13"/>
  <c r="P52" i="13"/>
  <c r="C52" i="13"/>
  <c r="AW51" i="13"/>
  <c r="AR51" i="13"/>
  <c r="AE51" i="13"/>
  <c r="U51" i="13"/>
  <c r="P51" i="13"/>
  <c r="C51" i="13"/>
  <c r="AW50" i="13"/>
  <c r="AR50" i="13"/>
  <c r="AE50" i="13"/>
  <c r="U50" i="13"/>
  <c r="P50" i="13"/>
  <c r="C50" i="13"/>
  <c r="AW49" i="13"/>
  <c r="AR49" i="13"/>
  <c r="AE49" i="13"/>
  <c r="U49" i="13"/>
  <c r="P49" i="13"/>
  <c r="C49" i="13"/>
  <c r="AW48" i="13"/>
  <c r="AR48" i="13"/>
  <c r="AE48" i="13"/>
  <c r="U48" i="13"/>
  <c r="P48" i="13"/>
  <c r="C48" i="13"/>
  <c r="AW47" i="13"/>
  <c r="AR47" i="13"/>
  <c r="AE47" i="13"/>
  <c r="U47" i="13"/>
  <c r="P47" i="13"/>
  <c r="C47" i="13"/>
  <c r="AW46" i="13"/>
  <c r="AR46" i="13"/>
  <c r="AE46" i="13"/>
  <c r="U46" i="13"/>
  <c r="P46" i="13"/>
  <c r="C46" i="13"/>
  <c r="AW45" i="13"/>
  <c r="AR45" i="13"/>
  <c r="AE45" i="13"/>
  <c r="U45" i="13"/>
  <c r="P45" i="13"/>
  <c r="C45" i="13"/>
  <c r="AW44" i="13"/>
  <c r="AR44" i="13"/>
  <c r="AE44" i="13"/>
  <c r="U44" i="13"/>
  <c r="P44" i="13"/>
  <c r="C44" i="13"/>
  <c r="AW43" i="13"/>
  <c r="AR43" i="13"/>
  <c r="AE43" i="13"/>
  <c r="U43" i="13"/>
  <c r="P43" i="13"/>
  <c r="C43" i="13"/>
  <c r="AW42" i="13"/>
  <c r="AR42" i="13"/>
  <c r="AE42" i="13"/>
  <c r="U42" i="13"/>
  <c r="P42" i="13"/>
  <c r="C42" i="13"/>
  <c r="AW41" i="13"/>
  <c r="AR41" i="13"/>
  <c r="AE41" i="13"/>
  <c r="U41" i="13"/>
  <c r="P41" i="13"/>
  <c r="C41" i="13"/>
  <c r="AW40" i="13"/>
  <c r="AR40" i="13"/>
  <c r="AE40" i="13"/>
  <c r="U40" i="13"/>
  <c r="P40" i="13"/>
  <c r="C40" i="13"/>
  <c r="AW39" i="13"/>
  <c r="AR39" i="13"/>
  <c r="AE39" i="13"/>
  <c r="U39" i="13"/>
  <c r="P39" i="13"/>
  <c r="C39" i="13"/>
  <c r="AW38" i="13"/>
  <c r="AR38" i="13"/>
  <c r="AE38" i="13"/>
  <c r="U38" i="13"/>
  <c r="P38" i="13"/>
  <c r="C38" i="13"/>
  <c r="AW37" i="13"/>
  <c r="AR37" i="13"/>
  <c r="AE37" i="13"/>
  <c r="U37" i="13"/>
  <c r="P37" i="13"/>
  <c r="C37" i="13"/>
  <c r="AW36" i="13"/>
  <c r="AR36" i="13"/>
  <c r="AE36" i="13"/>
  <c r="U36" i="13"/>
  <c r="P36" i="13"/>
  <c r="C36" i="13"/>
  <c r="AW35" i="13"/>
  <c r="AR35" i="13"/>
  <c r="AE35" i="13"/>
  <c r="U35" i="13"/>
  <c r="P35" i="13"/>
  <c r="C35" i="13"/>
  <c r="AW34" i="13"/>
  <c r="AR34" i="13"/>
  <c r="AE34" i="13"/>
  <c r="U34" i="13"/>
  <c r="P34" i="13"/>
  <c r="C34" i="13"/>
  <c r="AW33" i="13"/>
  <c r="AR33" i="13"/>
  <c r="AE33" i="13"/>
  <c r="U33" i="13"/>
  <c r="P33" i="13"/>
  <c r="C33" i="13"/>
  <c r="AW32" i="13"/>
  <c r="AR32" i="13"/>
  <c r="AE32" i="13"/>
  <c r="U32" i="13"/>
  <c r="P32" i="13"/>
  <c r="C32" i="13"/>
  <c r="AW31" i="13"/>
  <c r="AR31" i="13"/>
  <c r="AE31" i="13"/>
  <c r="U31" i="13"/>
  <c r="P31" i="13"/>
  <c r="C31" i="13"/>
  <c r="AW30" i="13"/>
  <c r="AR30" i="13"/>
  <c r="AE30" i="13"/>
  <c r="U30" i="13"/>
  <c r="P30" i="13"/>
  <c r="C30" i="13"/>
  <c r="AW29" i="13"/>
  <c r="AR29" i="13"/>
  <c r="AE29" i="13"/>
  <c r="U29" i="13"/>
  <c r="P29" i="13"/>
  <c r="C29" i="13"/>
  <c r="AW28" i="13"/>
  <c r="AR28" i="13"/>
  <c r="AE28" i="13"/>
  <c r="U28" i="13"/>
  <c r="P28" i="13"/>
  <c r="C28" i="13"/>
  <c r="AW27" i="13"/>
  <c r="AR27" i="13"/>
  <c r="AE27" i="13"/>
  <c r="U27" i="13"/>
  <c r="P27" i="13"/>
  <c r="C27" i="13"/>
  <c r="AW26" i="13"/>
  <c r="AR26" i="13"/>
  <c r="AE26" i="13"/>
  <c r="U26" i="13"/>
  <c r="P26" i="13"/>
  <c r="C26" i="13"/>
  <c r="AW25" i="13"/>
  <c r="AR25" i="13"/>
  <c r="AE25" i="13"/>
  <c r="U25" i="13"/>
  <c r="P25" i="13"/>
  <c r="C25" i="13"/>
  <c r="AW24" i="13"/>
  <c r="AR24" i="13"/>
  <c r="AE24" i="13"/>
  <c r="U24" i="13"/>
  <c r="P24" i="13"/>
  <c r="C24" i="13"/>
  <c r="AW23" i="13"/>
  <c r="AR23" i="13"/>
  <c r="AE23" i="13"/>
  <c r="U23" i="13"/>
  <c r="P23" i="13"/>
  <c r="C23" i="13"/>
  <c r="AW22" i="13"/>
  <c r="AR22" i="13"/>
  <c r="AE22" i="13"/>
  <c r="U22" i="13"/>
  <c r="P22" i="13"/>
  <c r="C22" i="13"/>
  <c r="AW21" i="13"/>
  <c r="AR21" i="13"/>
  <c r="AE21" i="13"/>
  <c r="U21" i="13"/>
  <c r="P21" i="13"/>
  <c r="C21" i="13"/>
  <c r="AW20" i="13"/>
  <c r="AR20" i="13"/>
  <c r="AE20" i="13"/>
  <c r="U20" i="13"/>
  <c r="P20" i="13"/>
  <c r="C20" i="13"/>
  <c r="AW19" i="13"/>
  <c r="AR19" i="13"/>
  <c r="AE19" i="13"/>
  <c r="U19" i="13"/>
  <c r="P19" i="13"/>
  <c r="C19" i="13"/>
  <c r="AW18" i="13"/>
  <c r="AR18" i="13"/>
  <c r="AE18" i="13"/>
  <c r="U18" i="13"/>
  <c r="P18" i="13"/>
  <c r="C18" i="13"/>
  <c r="AW17" i="13"/>
  <c r="AR17" i="13"/>
  <c r="AE17" i="13"/>
  <c r="U17" i="13"/>
  <c r="P17" i="13"/>
  <c r="C17" i="13"/>
  <c r="AW16" i="13"/>
  <c r="AR16" i="13"/>
  <c r="AE16" i="13"/>
  <c r="U16" i="13"/>
  <c r="P16" i="13"/>
  <c r="C16" i="13"/>
  <c r="AW15" i="13"/>
  <c r="AR15" i="13"/>
  <c r="AE15" i="13"/>
  <c r="AW14" i="13"/>
  <c r="AR14" i="13"/>
  <c r="AE14" i="13"/>
  <c r="AW13" i="13"/>
  <c r="AR13" i="13"/>
  <c r="AE13" i="13"/>
  <c r="BE165" i="14"/>
  <c r="BW156" i="14"/>
  <c r="BE152" i="14"/>
  <c r="AF148" i="14"/>
  <c r="E135" i="14"/>
  <c r="E133" i="14"/>
  <c r="E131" i="14"/>
  <c r="E129" i="14"/>
  <c r="E127" i="14"/>
  <c r="E125" i="14"/>
  <c r="E123" i="14"/>
  <c r="E121" i="14"/>
  <c r="E119" i="14"/>
  <c r="E117" i="14"/>
  <c r="BW110" i="14"/>
  <c r="AO107" i="14"/>
  <c r="E107" i="14"/>
  <c r="AO105" i="14"/>
  <c r="E105" i="14"/>
  <c r="AO103" i="14"/>
  <c r="E103" i="14"/>
  <c r="AO101" i="14"/>
  <c r="E101" i="14"/>
  <c r="AO99" i="14"/>
  <c r="E99" i="14"/>
  <c r="AO97" i="14"/>
  <c r="E97" i="14"/>
  <c r="AO95" i="14"/>
  <c r="E95" i="14"/>
  <c r="AO93" i="14"/>
  <c r="E93" i="14"/>
  <c r="AO91" i="14"/>
  <c r="E91" i="14"/>
  <c r="AO89" i="14"/>
  <c r="E89" i="14"/>
  <c r="AO87" i="14"/>
  <c r="E87" i="14"/>
  <c r="BE85" i="14"/>
  <c r="AO85" i="14"/>
  <c r="E85" i="14"/>
  <c r="AO83" i="14"/>
  <c r="E83" i="14"/>
  <c r="AO81" i="14"/>
  <c r="E81" i="14"/>
  <c r="AO79" i="14"/>
  <c r="E79" i="14"/>
  <c r="AO77" i="14"/>
  <c r="E77" i="14"/>
  <c r="AO75" i="14"/>
  <c r="E75" i="14"/>
  <c r="AO73" i="14"/>
  <c r="E73" i="14"/>
  <c r="AO71" i="14"/>
  <c r="E71" i="14"/>
  <c r="AO69" i="14"/>
  <c r="E69" i="14"/>
  <c r="AO67" i="14"/>
  <c r="E67" i="14"/>
  <c r="AO65" i="14"/>
  <c r="E65" i="14"/>
  <c r="AO63" i="14"/>
  <c r="E63" i="14"/>
  <c r="AO61" i="14"/>
  <c r="E61" i="14"/>
  <c r="AO59" i="14"/>
  <c r="E59" i="14"/>
  <c r="AO57" i="14"/>
  <c r="E57" i="14"/>
  <c r="BW56" i="14"/>
  <c r="AO55" i="14"/>
  <c r="E55" i="14"/>
  <c r="AO53" i="14"/>
  <c r="E53" i="14"/>
  <c r="BE51" i="14"/>
  <c r="AO51" i="14"/>
  <c r="E51" i="14"/>
  <c r="AO49" i="14"/>
  <c r="E49" i="14"/>
  <c r="AO47" i="14"/>
  <c r="E47" i="14"/>
  <c r="AO45" i="14"/>
  <c r="E45" i="14"/>
  <c r="AO43" i="14"/>
  <c r="E43" i="14"/>
  <c r="AO41" i="14"/>
  <c r="E41" i="14"/>
  <c r="AO39" i="14"/>
  <c r="E39" i="14"/>
  <c r="AO37" i="14"/>
  <c r="E37" i="14"/>
  <c r="AO35" i="14"/>
  <c r="E35" i="14"/>
  <c r="AO33" i="14"/>
  <c r="E33" i="14"/>
  <c r="AO31" i="14"/>
  <c r="E31" i="14"/>
  <c r="AO29" i="14"/>
  <c r="E29" i="14"/>
  <c r="CF22" i="14"/>
  <c r="D13" i="7"/>
  <c r="D12" i="7"/>
  <c r="D11" i="7"/>
  <c r="AV39" i="10" l="1"/>
  <c r="AV38" i="10"/>
  <c r="AV37" i="10"/>
  <c r="AV36" i="10"/>
  <c r="AV35" i="10"/>
  <c r="AV34" i="10"/>
  <c r="AV33" i="10"/>
  <c r="AV32" i="10"/>
  <c r="AV31" i="10"/>
  <c r="AV30" i="10"/>
  <c r="AV29" i="10"/>
  <c r="AV28" i="10"/>
  <c r="AV27" i="10"/>
  <c r="AV26" i="10"/>
  <c r="AV25" i="10"/>
  <c r="AV24" i="10"/>
  <c r="AV23" i="10"/>
  <c r="AV22" i="10"/>
  <c r="AV21" i="10"/>
  <c r="AV20" i="10"/>
  <c r="AV19" i="10"/>
  <c r="AV18" i="10"/>
  <c r="AV17" i="10"/>
  <c r="AV16" i="10"/>
  <c r="AV15" i="10"/>
  <c r="D10" i="7"/>
  <c r="AR39" i="10"/>
  <c r="AR38" i="10"/>
  <c r="AR37" i="10"/>
  <c r="AR36" i="10"/>
  <c r="AR35" i="10"/>
  <c r="AR34" i="10"/>
  <c r="AR33" i="10"/>
  <c r="AR32" i="10"/>
  <c r="AR31" i="10"/>
  <c r="AR30" i="10"/>
  <c r="AR29" i="10"/>
  <c r="AR28" i="10"/>
  <c r="AR27" i="10"/>
  <c r="AR26" i="10"/>
  <c r="AR25" i="10"/>
  <c r="AR24" i="10"/>
  <c r="AR23" i="10"/>
  <c r="AR22" i="10"/>
  <c r="AR21" i="10"/>
  <c r="AR20" i="10"/>
  <c r="AR19" i="10"/>
  <c r="AR18" i="10"/>
  <c r="AR17" i="10"/>
  <c r="AR16" i="10"/>
  <c r="AR15" i="10"/>
  <c r="AR14" i="10"/>
  <c r="D9" i="7"/>
  <c r="D8" i="7"/>
  <c r="D7" i="7"/>
  <c r="D6" i="7"/>
  <c r="D5" i="7"/>
  <c r="D4" i="7"/>
  <c r="D3" i="7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</calcChain>
</file>

<file path=xl/sharedStrings.xml><?xml version="1.0" encoding="utf-8"?>
<sst xmlns="http://schemas.openxmlformats.org/spreadsheetml/2006/main" count="339" uniqueCount="163">
  <si>
    <t>Учебное заведение</t>
  </si>
  <si>
    <t>Местоположение</t>
  </si>
  <si>
    <t>Приложение</t>
  </si>
  <si>
    <t>Уровень</t>
  </si>
  <si>
    <t>Регистрационный номер</t>
  </si>
  <si>
    <t>Дата выдачи</t>
  </si>
  <si>
    <t>Наименование</t>
  </si>
  <si>
    <t>С отличием ?</t>
  </si>
  <si>
    <t>Фамилия</t>
  </si>
  <si>
    <t>Имя</t>
  </si>
  <si>
    <t>Отчество</t>
  </si>
  <si>
    <t>Дата рождения</t>
  </si>
  <si>
    <t>Предыдущий документ об образовании</t>
  </si>
  <si>
    <t>Личные данные</t>
  </si>
  <si>
    <t>Сведения о квалификации</t>
  </si>
  <si>
    <t>Присвоена квалификация</t>
  </si>
  <si>
    <t>с отличием</t>
  </si>
  <si>
    <t>30 января 2014 года</t>
  </si>
  <si>
    <t>Код и наименование специальности или направления подготовки</t>
  </si>
  <si>
    <t>Срок освоения программы в очной форме обучения</t>
  </si>
  <si>
    <t>количество лет</t>
  </si>
  <si>
    <t>год / лет</t>
  </si>
  <si>
    <t>количество месяцев</t>
  </si>
  <si>
    <t>месяцев / месяца</t>
  </si>
  <si>
    <t>Оценка</t>
  </si>
  <si>
    <t>Наименование документа</t>
  </si>
  <si>
    <t>Год выдачи</t>
  </si>
  <si>
    <t>Варианты(примеры) значений</t>
  </si>
  <si>
    <t>Значение поля</t>
  </si>
  <si>
    <t>Наименование поля</t>
  </si>
  <si>
    <t>Примеры значений</t>
  </si>
  <si>
    <t>Руководитель учебного заведения</t>
  </si>
  <si>
    <t>последняя строка правой таблицы</t>
  </si>
  <si>
    <t>последняя строка левой таблицы</t>
  </si>
  <si>
    <t>месяца</t>
  </si>
  <si>
    <t>Значения</t>
  </si>
  <si>
    <t>последняя строка таблицы</t>
  </si>
  <si>
    <t>Дополнительные сведения 2</t>
  </si>
  <si>
    <t>Дополнительные сведения 3</t>
  </si>
  <si>
    <t>Дополнительные сведения 4</t>
  </si>
  <si>
    <t>Дополнительные сведения 5</t>
  </si>
  <si>
    <t>Дополнительные сведения 6</t>
  </si>
  <si>
    <t>Дополнительные сведения 7</t>
  </si>
  <si>
    <t>ячейка выделена - символов больше122 - допустимо не больше</t>
  </si>
  <si>
    <t>Дополнительные сведения 1</t>
  </si>
  <si>
    <t>бакалавра</t>
  </si>
  <si>
    <t>Дополнительные сведения 8</t>
  </si>
  <si>
    <t>года</t>
  </si>
  <si>
    <t>ДУБЛИКАТ</t>
  </si>
  <si>
    <t>Дополнительные сведения 9</t>
  </si>
  <si>
    <t>Дополнительные сведения 10</t>
  </si>
  <si>
    <t>Дополнительные сведения 11</t>
  </si>
  <si>
    <t>26 января 1985 года</t>
  </si>
  <si>
    <t>с отличием ?</t>
  </si>
  <si>
    <t>Бакалавр</t>
  </si>
  <si>
    <t>г Москва</t>
  </si>
  <si>
    <t>Сверить  с документом  в дичном деле</t>
  </si>
  <si>
    <t xml:space="preserve">Наименование документа об образовании или об образовании и о квалификации, на основании которого выпускник был принят на обучение по ОПОП (аттестат о среднем общем образовании или диплом о начальном профессиональном образовании (полученный до вступления в силу ФЗ), если в нем есть запись о получении среднего общего образования, или диплом о среднем профессиональном образовании, или документ о высшем образовании) </t>
  </si>
  <si>
    <t>Практики</t>
  </si>
  <si>
    <t>x</t>
  </si>
  <si>
    <t>в том числе:</t>
  </si>
  <si>
    <t>Государственная итоговая аттестация</t>
  </si>
  <si>
    <t>х</t>
  </si>
  <si>
    <t>Объем образовательной программы</t>
  </si>
  <si>
    <t>Форма обучения: очная</t>
  </si>
  <si>
    <t>240 з.е.</t>
  </si>
  <si>
    <t>Повышение спортивного мастерства</t>
  </si>
  <si>
    <t>Направленность (профиль) образовательной программы: Психология образования</t>
  </si>
  <si>
    <t xml:space="preserve">Выпускная квалификационная работа (бакалаврская работа) </t>
  </si>
  <si>
    <t>"Субъективное благополучие отстающих в обучении</t>
  </si>
  <si>
    <t>младших школьников"</t>
  </si>
  <si>
    <t xml:space="preserve">в том числе объем контактной работы обучающихся </t>
  </si>
  <si>
    <t>во взаимодействии с преподавателем в академических часах:</t>
  </si>
  <si>
    <t xml:space="preserve">Наименование дисциплины "Очень длинная и очень итересная  </t>
  </si>
  <si>
    <t>тема курсовой работы"</t>
  </si>
  <si>
    <t>Факультативные дисциплины (модули)</t>
  </si>
  <si>
    <t>Дополнительные сведения</t>
  </si>
  <si>
    <t>Протокол присвоения квалификации</t>
  </si>
  <si>
    <t>Наименования дисциплин (модулей), практик, курсовых работ</t>
  </si>
  <si>
    <t>Количество зачетных единиц / академических часов / астрономических часов</t>
  </si>
  <si>
    <t>ячейка выделена - символов больше 75 - допустимо не больше</t>
  </si>
  <si>
    <t>ячейка выделена - символов больше 95 допустимо не больше</t>
  </si>
  <si>
    <t>вписываем протокол ГЭК (как в дипломе)</t>
  </si>
  <si>
    <t>Дисциплина 4</t>
  </si>
  <si>
    <t>Дисциплина 5</t>
  </si>
  <si>
    <t>Дисциплина 6</t>
  </si>
  <si>
    <t>Дисциплина 7</t>
  </si>
  <si>
    <t>Дисциплина 8</t>
  </si>
  <si>
    <t>Дисциплина 9</t>
  </si>
  <si>
    <t>Дисциплина 10</t>
  </si>
  <si>
    <t>Дисциплина 11</t>
  </si>
  <si>
    <t>Дисциплина 12</t>
  </si>
  <si>
    <t>Дисциплина 13</t>
  </si>
  <si>
    <t>Дисциплина 14</t>
  </si>
  <si>
    <t>Дисциплина 15</t>
  </si>
  <si>
    <t>Дисциплина 16</t>
  </si>
  <si>
    <t>Дисциплина 17</t>
  </si>
  <si>
    <t>Дисциплина 18</t>
  </si>
  <si>
    <t>Дисциплина 19</t>
  </si>
  <si>
    <t>Дисциплина 20</t>
  </si>
  <si>
    <t>Дисциплина 21</t>
  </si>
  <si>
    <t>Дисциплина 22</t>
  </si>
  <si>
    <t>Дисциплина 23</t>
  </si>
  <si>
    <t>Дисциплина 24</t>
  </si>
  <si>
    <t>Дисциплина 25</t>
  </si>
  <si>
    <t>Дисциплина 26</t>
  </si>
  <si>
    <t>Дисциплина 27</t>
  </si>
  <si>
    <t>Дисциплина 28</t>
  </si>
  <si>
    <t>Дисциплина 29</t>
  </si>
  <si>
    <t>Дисциплина 30</t>
  </si>
  <si>
    <t>Дисциплина 31</t>
  </si>
  <si>
    <t>Дисциплина 32</t>
  </si>
  <si>
    <t>Дисциплина 33</t>
  </si>
  <si>
    <t>Дисциплина 34</t>
  </si>
  <si>
    <t>Дисциплина 35</t>
  </si>
  <si>
    <t>Дисциплина 36</t>
  </si>
  <si>
    <t>Дисциплина 37</t>
  </si>
  <si>
    <t>Дисциплина 38</t>
  </si>
  <si>
    <t>Дисциплина 39</t>
  </si>
  <si>
    <t>Дисциплина 40</t>
  </si>
  <si>
    <t>Дисциплина 41</t>
  </si>
  <si>
    <t>Дисциплина 42</t>
  </si>
  <si>
    <t>Дисциплина 43</t>
  </si>
  <si>
    <t>Дисциплина 44</t>
  </si>
  <si>
    <t>Дисциплина 45</t>
  </si>
  <si>
    <t>Дисциплина 46</t>
  </si>
  <si>
    <t>Дисциплина 47</t>
  </si>
  <si>
    <t>Дисциплина 48</t>
  </si>
  <si>
    <t>Дисциплина 49</t>
  </si>
  <si>
    <t>Дисциплина 50</t>
  </si>
  <si>
    <t>Дисциплина 51</t>
  </si>
  <si>
    <t>Дисциплина 52</t>
  </si>
  <si>
    <t>Дисциплина 53</t>
  </si>
  <si>
    <t>Дисциплина 54</t>
  </si>
  <si>
    <t>Дисциплина 55</t>
  </si>
  <si>
    <t>Дисциплина 56</t>
  </si>
  <si>
    <t>Дисциплина 57</t>
  </si>
  <si>
    <t>Дисциплина 58</t>
  </si>
  <si>
    <t>Дисциплина 59</t>
  </si>
  <si>
    <t>Дисциплина 60</t>
  </si>
  <si>
    <t>Дисциплина 61</t>
  </si>
  <si>
    <t>Дисциплина 62</t>
  </si>
  <si>
    <t>Дисциплина 63</t>
  </si>
  <si>
    <t>Дисциплина 64</t>
  </si>
  <si>
    <t>Дисциплина 65</t>
  </si>
  <si>
    <t>Дисциплина 70</t>
  </si>
  <si>
    <t>Вид практики, тип практики</t>
  </si>
  <si>
    <t>YYYY/Б24</t>
  </si>
  <si>
    <t>?? з.е.</t>
  </si>
  <si>
    <t>оценка</t>
  </si>
  <si>
    <t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t>
  </si>
  <si>
    <t xml:space="preserve"> YY июня 2024 года</t>
  </si>
  <si>
    <t>А.А. Марголис</t>
  </si>
  <si>
    <t>Дисциплина 2</t>
  </si>
  <si>
    <t>Дисциплина 3</t>
  </si>
  <si>
    <t>Дисциплина 68</t>
  </si>
  <si>
    <t>Дисциплина 69</t>
  </si>
  <si>
    <t>22 января 2005 года</t>
  </si>
  <si>
    <t>Дисциплина 1</t>
  </si>
  <si>
    <t>??  з.е.</t>
  </si>
  <si>
    <t>?? ак. час.</t>
  </si>
  <si>
    <t>Дисциплина 66</t>
  </si>
  <si>
    <t>Дисциплина 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</si>
</sst>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9" tint="-0.499984740745262"/>
      <name val="Calibri"/>
      <family val="2"/>
      <charset val="204"/>
      <scheme val="minor"/>
    </font>
    <font>
      <sz val="11"/>
      <color theme="3" tint="-0.249977111117893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Times New Roman"/>
      <family val="1"/>
      <charset val="204"/>
    </font>
    <font>
      <sz val="16"/>
      <name val="Times New Roman"/>
      <family val="1"/>
      <charset val="204"/>
    </font>
    <font>
      <sz val="14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9"/>
      <name val="Times New Roman"/>
      <family val="1"/>
      <charset val="204"/>
    </font>
    <font>
      <b/>
      <sz val="11"/>
      <color rgb="FFFF0000"/>
      <name val="Calibri"/>
      <family val="2"/>
      <charset val="204"/>
      <scheme val="minor"/>
    </font>
    <font>
      <sz val="6"/>
      <color theme="3" tint="-0.249977111117893"/>
      <name val="Calibri"/>
      <family val="2"/>
      <charset val="204"/>
      <scheme val="minor"/>
    </font>
    <font>
      <sz val="8"/>
      <color theme="3" tint="-0.249977111117893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sz val="11"/>
      <color rgb="FF974807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8" fillId="0" borderId="0"/>
    <xf numFmtId="0" fontId="19" fillId="0" borderId="0"/>
  </cellStyleXfs>
  <cellXfs count="194">
    <xf numFmtId="0" fontId="0" fillId="0" borderId="0" xfId="0"/>
    <xf numFmtId="0" fontId="0" fillId="0" borderId="0" xfId="0" applyFill="1"/>
    <xf numFmtId="0" fontId="0" fillId="0" borderId="0" xfId="0" applyAlignment="1">
      <alignment horizontal="left" vertical="top"/>
    </xf>
    <xf numFmtId="0" fontId="0" fillId="3" borderId="0" xfId="0" applyFill="1"/>
    <xf numFmtId="0" fontId="0" fillId="3" borderId="0" xfId="0" applyFill="1" applyAlignment="1">
      <alignment horizontal="left" vertical="top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top" wrapText="1"/>
    </xf>
    <xf numFmtId="0" fontId="0" fillId="5" borderId="0" xfId="0" applyFill="1"/>
    <xf numFmtId="0" fontId="0" fillId="3" borderId="1" xfId="0" applyFill="1" applyBorder="1" applyAlignment="1">
      <alignment horizontal="left" vertical="top" indent="3"/>
    </xf>
    <xf numFmtId="0" fontId="0" fillId="3" borderId="1" xfId="0" applyFill="1" applyBorder="1" applyAlignment="1">
      <alignment horizontal="left" vertical="top" wrapText="1" indent="2"/>
    </xf>
    <xf numFmtId="0" fontId="5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left" vertical="top" wrapText="1"/>
    </xf>
    <xf numFmtId="0" fontId="4" fillId="0" borderId="3" xfId="0" applyFont="1" applyBorder="1" applyAlignment="1" applyProtection="1">
      <alignment vertical="top" wrapText="1"/>
      <protection locked="0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indent="2"/>
    </xf>
    <xf numFmtId="0" fontId="4" fillId="0" borderId="4" xfId="0" applyFont="1" applyBorder="1" applyAlignment="1" applyProtection="1">
      <alignment vertical="top" wrapText="1"/>
      <protection locked="0"/>
    </xf>
    <xf numFmtId="0" fontId="0" fillId="5" borderId="5" xfId="0" applyFill="1" applyBorder="1"/>
    <xf numFmtId="0" fontId="0" fillId="5" borderId="6" xfId="0" applyFill="1" applyBorder="1"/>
    <xf numFmtId="0" fontId="0" fillId="2" borderId="0" xfId="0" applyFill="1"/>
    <xf numFmtId="0" fontId="0" fillId="3" borderId="0" xfId="0" applyFill="1" applyBorder="1"/>
    <xf numFmtId="0" fontId="4" fillId="0" borderId="0" xfId="0" applyFont="1" applyBorder="1" applyAlignment="1" applyProtection="1">
      <alignment vertical="top" wrapText="1"/>
      <protection locked="0"/>
    </xf>
    <xf numFmtId="0" fontId="0" fillId="5" borderId="0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/>
    <xf numFmtId="0" fontId="8" fillId="0" borderId="0" xfId="0" applyFont="1" applyFill="1" applyBorder="1"/>
    <xf numFmtId="0" fontId="9" fillId="0" borderId="0" xfId="0" applyFont="1" applyFill="1" applyBorder="1"/>
    <xf numFmtId="0" fontId="10" fillId="0" borderId="0" xfId="0" applyFont="1" applyFill="1" applyBorder="1" applyAlignment="1"/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top" wrapText="1"/>
    </xf>
    <xf numFmtId="0" fontId="12" fillId="0" borderId="0" xfId="0" applyFont="1" applyFill="1" applyBorder="1"/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top"/>
    </xf>
    <xf numFmtId="0" fontId="9" fillId="0" borderId="0" xfId="0" applyFont="1" applyFill="1" applyBorder="1" applyAlignment="1"/>
    <xf numFmtId="49" fontId="12" fillId="0" borderId="0" xfId="0" applyNumberFormat="1" applyFont="1" applyFill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11" fillId="0" borderId="0" xfId="0" applyFont="1" applyFill="1" applyBorder="1" applyAlignment="1"/>
    <xf numFmtId="0" fontId="13" fillId="0" borderId="0" xfId="0" applyFont="1" applyFill="1" applyBorder="1"/>
    <xf numFmtId="0" fontId="12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5" fillId="5" borderId="10" xfId="0" applyFont="1" applyFill="1" applyBorder="1" applyAlignment="1">
      <alignment wrapText="1"/>
    </xf>
    <xf numFmtId="0" fontId="0" fillId="3" borderId="11" xfId="0" applyFill="1" applyBorder="1" applyAlignment="1">
      <alignment horizontal="left" vertical="top" wrapText="1" indent="2"/>
    </xf>
    <xf numFmtId="0" fontId="5" fillId="5" borderId="11" xfId="0" applyFont="1" applyFill="1" applyBorder="1" applyAlignment="1">
      <alignment wrapText="1"/>
    </xf>
    <xf numFmtId="0" fontId="0" fillId="3" borderId="10" xfId="0" applyFill="1" applyBorder="1" applyAlignment="1">
      <alignment vertical="top" wrapText="1"/>
    </xf>
    <xf numFmtId="0" fontId="5" fillId="5" borderId="10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top" wrapText="1"/>
    </xf>
    <xf numFmtId="0" fontId="4" fillId="3" borderId="4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0" fillId="3" borderId="11" xfId="0" applyFill="1" applyBorder="1" applyAlignment="1">
      <alignment horizontal="left" vertical="top" indent="3"/>
    </xf>
    <xf numFmtId="0" fontId="0" fillId="3" borderId="10" xfId="0" applyFill="1" applyBorder="1" applyAlignment="1">
      <alignment horizontal="left" vertical="top" wrapText="1" indent="2"/>
    </xf>
    <xf numFmtId="0" fontId="5" fillId="5" borderId="10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10" xfId="0" applyFont="1" applyBorder="1" applyAlignment="1" applyProtection="1">
      <alignment horizontal="left" vertical="top" wrapText="1"/>
      <protection locked="0"/>
    </xf>
    <xf numFmtId="0" fontId="0" fillId="3" borderId="9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left"/>
    </xf>
    <xf numFmtId="0" fontId="2" fillId="4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Protection="1">
      <protection locked="0"/>
    </xf>
    <xf numFmtId="0" fontId="0" fillId="2" borderId="1" xfId="0" applyFill="1" applyBorder="1" applyProtection="1">
      <protection locked="0"/>
    </xf>
    <xf numFmtId="0" fontId="0" fillId="4" borderId="10" xfId="0" applyFill="1" applyBorder="1" applyAlignment="1">
      <alignment horizontal="center" vertical="center"/>
    </xf>
    <xf numFmtId="0" fontId="0" fillId="4" borderId="1" xfId="0" applyFill="1" applyBorder="1"/>
    <xf numFmtId="0" fontId="0" fillId="0" borderId="2" xfId="0" applyBorder="1" applyProtection="1">
      <protection locked="0"/>
    </xf>
    <xf numFmtId="0" fontId="0" fillId="2" borderId="2" xfId="0" applyFill="1" applyBorder="1" applyProtection="1">
      <protection locked="0"/>
    </xf>
    <xf numFmtId="0" fontId="0" fillId="4" borderId="3" xfId="0" applyFill="1" applyBorder="1"/>
    <xf numFmtId="0" fontId="0" fillId="0" borderId="0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0" fontId="6" fillId="0" borderId="0" xfId="0" applyFont="1" applyFill="1" applyBorder="1"/>
    <xf numFmtId="0" fontId="0" fillId="4" borderId="0" xfId="0" applyFill="1" applyAlignment="1">
      <alignment horizontal="left" vertical="top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left" vertical="top"/>
    </xf>
    <xf numFmtId="49" fontId="0" fillId="0" borderId="1" xfId="0" applyNumberFormat="1" applyBorder="1" applyAlignment="1" applyProtection="1">
      <alignment horizontal="left" vertical="top" wrapText="1"/>
      <protection locked="0"/>
    </xf>
    <xf numFmtId="0" fontId="0" fillId="4" borderId="1" xfId="0" applyFill="1" applyBorder="1" applyAlignment="1" applyProtection="1">
      <alignment horizontal="center" vertical="top"/>
    </xf>
    <xf numFmtId="0" fontId="0" fillId="4" borderId="1" xfId="0" applyFill="1" applyBorder="1" applyAlignment="1" applyProtection="1">
      <alignment horizontal="left" vertical="top"/>
    </xf>
    <xf numFmtId="0" fontId="0" fillId="4" borderId="1" xfId="0" applyFill="1" applyBorder="1" applyAlignment="1" applyProtection="1">
      <alignment horizontal="center" vertical="center"/>
    </xf>
    <xf numFmtId="49" fontId="9" fillId="0" borderId="0" xfId="0" applyNumberFormat="1" applyFont="1" applyFill="1" applyBorder="1" applyAlignment="1"/>
    <xf numFmtId="49" fontId="0" fillId="4" borderId="1" xfId="0" applyNumberFormat="1" applyFill="1" applyBorder="1" applyAlignment="1" applyProtection="1">
      <alignment horizontal="left" vertical="top" wrapText="1"/>
    </xf>
    <xf numFmtId="0" fontId="0" fillId="5" borderId="5" xfId="0" applyFill="1" applyBorder="1" applyAlignment="1">
      <alignment vertical="top"/>
    </xf>
    <xf numFmtId="0" fontId="7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center"/>
    </xf>
    <xf numFmtId="0" fontId="0" fillId="3" borderId="1" xfId="0" applyFill="1" applyBorder="1" applyAlignment="1">
      <alignment horizontal="left" vertical="top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top"/>
    </xf>
    <xf numFmtId="0" fontId="12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left" vertical="top" wrapText="1"/>
    </xf>
    <xf numFmtId="0" fontId="4" fillId="0" borderId="3" xfId="0" applyFont="1" applyFill="1" applyBorder="1" applyAlignment="1" applyProtection="1">
      <alignment vertical="top" wrapText="1"/>
      <protection locked="0"/>
    </xf>
    <xf numFmtId="0" fontId="20" fillId="0" borderId="10" xfId="0" applyFont="1" applyBorder="1" applyProtection="1">
      <protection locked="0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Fill="1"/>
    <xf numFmtId="0" fontId="7" fillId="0" borderId="0" xfId="0" applyFont="1" applyFill="1" applyBorder="1" applyAlignment="1">
      <alignment horizontal="center" vertical="center"/>
    </xf>
    <xf numFmtId="0" fontId="20" fillId="0" borderId="13" xfId="0" applyFont="1" applyBorder="1" applyAlignment="1" applyProtection="1">
      <alignment horizontal="center" vertical="center"/>
      <protection locked="0"/>
    </xf>
    <xf numFmtId="0" fontId="20" fillId="0" borderId="13" xfId="0" applyFont="1" applyBorder="1" applyProtection="1">
      <protection locked="0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20" fillId="0" borderId="10" xfId="0" applyFont="1" applyBorder="1" applyAlignment="1" applyProtection="1">
      <alignment horizontal="center"/>
      <protection locked="0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horizontal="left" vertical="top" wrapText="1" indent="2"/>
    </xf>
    <xf numFmtId="0" fontId="9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wrapText="1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0" fontId="6" fillId="0" borderId="0" xfId="0" applyFont="1" applyFill="1" applyBorder="1" applyAlignment="1"/>
    <xf numFmtId="0" fontId="0" fillId="5" borderId="1" xfId="0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3" borderId="0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15" fillId="5" borderId="2" xfId="0" applyFont="1" applyFill="1" applyBorder="1" applyAlignment="1">
      <alignment horizontal="left" vertical="top" wrapText="1"/>
    </xf>
    <xf numFmtId="0" fontId="15" fillId="5" borderId="3" xfId="0" applyFont="1" applyFill="1" applyBorder="1" applyAlignment="1">
      <alignment horizontal="left" vertical="top" wrapText="1"/>
    </xf>
    <xf numFmtId="0" fontId="16" fillId="5" borderId="14" xfId="0" applyFont="1" applyFill="1" applyBorder="1" applyAlignment="1">
      <alignment horizontal="center" wrapText="1"/>
    </xf>
    <xf numFmtId="0" fontId="16" fillId="5" borderId="15" xfId="0" applyFont="1" applyFill="1" applyBorder="1" applyAlignment="1">
      <alignment horizontal="center" wrapText="1"/>
    </xf>
    <xf numFmtId="0" fontId="16" fillId="5" borderId="12" xfId="0" applyFont="1" applyFill="1" applyBorder="1" applyAlignment="1">
      <alignment horizontal="center" wrapText="1"/>
    </xf>
    <xf numFmtId="0" fontId="16" fillId="5" borderId="13" xfId="0" applyFont="1" applyFill="1" applyBorder="1" applyAlignment="1">
      <alignment horizontal="center" wrapText="1"/>
    </xf>
    <xf numFmtId="0" fontId="15" fillId="5" borderId="2" xfId="0" applyFont="1" applyFill="1" applyBorder="1" applyAlignment="1">
      <alignment horizontal="center" wrapText="1"/>
    </xf>
    <xf numFmtId="0" fontId="15" fillId="5" borderId="4" xfId="0" applyFont="1" applyFill="1" applyBorder="1" applyAlignment="1">
      <alignment horizontal="center" wrapText="1"/>
    </xf>
    <xf numFmtId="0" fontId="15" fillId="5" borderId="3" xfId="0" applyFont="1" applyFill="1" applyBorder="1" applyAlignment="1">
      <alignment horizontal="center" wrapText="1"/>
    </xf>
    <xf numFmtId="49" fontId="0" fillId="0" borderId="2" xfId="0" applyNumberFormat="1" applyBorder="1" applyAlignment="1" applyProtection="1">
      <alignment horizontal="left" vertical="top" wrapText="1"/>
      <protection locked="0"/>
    </xf>
    <xf numFmtId="49" fontId="0" fillId="0" borderId="3" xfId="0" applyNumberFormat="1" applyBorder="1" applyAlignment="1" applyProtection="1">
      <alignment horizontal="left" vertical="top" wrapText="1"/>
      <protection locked="0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wrapText="1" indent="2"/>
    </xf>
    <xf numFmtId="0" fontId="12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vertical="top"/>
    </xf>
    <xf numFmtId="0" fontId="12" fillId="0" borderId="0" xfId="0" applyFont="1" applyFill="1" applyBorder="1" applyAlignment="1">
      <alignment horizontal="right" vertical="center"/>
    </xf>
    <xf numFmtId="0" fontId="12" fillId="0" borderId="0" xfId="0" applyFont="1" applyFill="1" applyBorder="1" applyAlignment="1">
      <alignment horizontal="right"/>
    </xf>
    <xf numFmtId="49" fontId="12" fillId="0" borderId="0" xfId="0" applyNumberFormat="1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 indent="2"/>
    </xf>
    <xf numFmtId="0" fontId="6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top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right"/>
    </xf>
    <xf numFmtId="0" fontId="12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/>
  </cellXfs>
  <cellStyles count="3">
    <cellStyle name="Обычный" xfId="0" builtinId="0"/>
    <cellStyle name="Обычный 2" xfId="1"/>
    <cellStyle name="Обычный 3" xfId="2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rgb="FF00B050"/>
  </sheetPr>
  <dimension ref="A1:H10"/>
  <sheetViews>
    <sheetView showFormulas="1" workbookViewId="0">
      <selection activeCell="B6" sqref="B6"/>
    </sheetView>
  </sheetViews>
  <sheetFormatPr defaultRowHeight="15" x14ac:dyDescent="0.25"/>
  <cols>
    <col min="1" max="1" width="36.28515625" customWidth="1"/>
    <col min="2" max="2" width="45.28515625" customWidth="1"/>
    <col min="3" max="3" width="13" customWidth="1"/>
    <col min="4" max="4" width="12.5703125" customWidth="1"/>
    <col min="5" max="5" width="14" customWidth="1"/>
    <col min="6" max="6" width="12.42578125" customWidth="1"/>
    <col min="7" max="7" width="12.140625" customWidth="1"/>
  </cols>
  <sheetData>
    <row r="1" spans="1:8" ht="27.95" customHeight="1" x14ac:dyDescent="0.25">
      <c r="A1" s="16" t="s">
        <v>6</v>
      </c>
      <c r="B1" s="3"/>
      <c r="C1" s="3"/>
      <c r="D1" s="3"/>
      <c r="E1" s="3"/>
      <c r="F1" s="3"/>
      <c r="G1" s="3"/>
      <c r="H1" s="3"/>
    </row>
    <row r="2" spans="1:8" ht="75" x14ac:dyDescent="0.25">
      <c r="A2" s="7" t="s">
        <v>0</v>
      </c>
      <c r="B2" s="15" t="s">
        <v>150</v>
      </c>
      <c r="C2" s="150" t="s">
        <v>27</v>
      </c>
      <c r="D2" s="150"/>
      <c r="E2" s="150"/>
      <c r="F2" s="150"/>
      <c r="G2" s="150"/>
      <c r="H2" s="3"/>
    </row>
    <row r="3" spans="1:8" x14ac:dyDescent="0.25">
      <c r="A3" s="7" t="s">
        <v>1</v>
      </c>
      <c r="B3" s="15" t="s">
        <v>55</v>
      </c>
      <c r="C3" s="10"/>
      <c r="D3" s="10"/>
      <c r="E3" s="10"/>
      <c r="F3" s="10"/>
      <c r="G3" s="10"/>
      <c r="H3" s="3"/>
    </row>
    <row r="4" spans="1:8" ht="15.75" thickBot="1" x14ac:dyDescent="0.3">
      <c r="A4" s="6" t="s">
        <v>2</v>
      </c>
      <c r="B4" s="119"/>
      <c r="C4" s="10" t="s">
        <v>48</v>
      </c>
      <c r="D4" s="10"/>
      <c r="E4" s="10"/>
      <c r="F4" s="10"/>
      <c r="G4" s="10"/>
      <c r="H4" s="3"/>
    </row>
    <row r="5" spans="1:8" ht="21.75" customHeight="1" thickBot="1" x14ac:dyDescent="0.3">
      <c r="A5" s="17" t="s">
        <v>3</v>
      </c>
      <c r="B5" s="18" t="s">
        <v>45</v>
      </c>
      <c r="C5" s="103" t="s">
        <v>45</v>
      </c>
      <c r="D5" s="103" t="s">
        <v>45</v>
      </c>
      <c r="E5" s="103"/>
      <c r="F5" s="103"/>
      <c r="G5" s="19"/>
      <c r="H5" s="3"/>
    </row>
    <row r="6" spans="1:8" ht="15.75" thickBot="1" x14ac:dyDescent="0.3">
      <c r="A6" s="17" t="s">
        <v>7</v>
      </c>
      <c r="B6" s="18" t="s">
        <v>16</v>
      </c>
      <c r="C6" s="103" t="s">
        <v>16</v>
      </c>
      <c r="D6" s="103"/>
      <c r="E6" s="103"/>
      <c r="F6" s="103"/>
      <c r="G6" s="20"/>
      <c r="H6" s="3"/>
    </row>
    <row r="7" spans="1:8" ht="15.75" thickBot="1" x14ac:dyDescent="0.3">
      <c r="A7" s="6" t="s">
        <v>4</v>
      </c>
      <c r="B7" s="15" t="s">
        <v>147</v>
      </c>
      <c r="C7" s="10"/>
      <c r="D7" s="10"/>
      <c r="E7" s="10"/>
      <c r="F7" s="10"/>
      <c r="G7" s="10"/>
      <c r="H7" s="3"/>
    </row>
    <row r="8" spans="1:8" ht="15.75" thickBot="1" x14ac:dyDescent="0.3">
      <c r="A8" s="6" t="s">
        <v>5</v>
      </c>
      <c r="B8" s="18" t="s">
        <v>151</v>
      </c>
      <c r="C8" s="151" t="s">
        <v>17</v>
      </c>
      <c r="D8" s="152"/>
      <c r="E8" s="10"/>
      <c r="F8" s="10"/>
      <c r="G8" s="10"/>
      <c r="H8" s="3"/>
    </row>
    <row r="9" spans="1:8" x14ac:dyDescent="0.25">
      <c r="A9" s="22" t="s">
        <v>31</v>
      </c>
      <c r="B9" s="23" t="s">
        <v>152</v>
      </c>
      <c r="C9" s="24"/>
      <c r="D9" s="24"/>
      <c r="E9" s="10"/>
      <c r="F9" s="10"/>
      <c r="G9" s="10"/>
      <c r="H9" s="3"/>
    </row>
    <row r="10" spans="1:8" x14ac:dyDescent="0.25">
      <c r="A10" s="3"/>
      <c r="B10" s="3"/>
      <c r="C10" s="3"/>
      <c r="D10" s="3"/>
      <c r="E10" s="3"/>
      <c r="F10" s="3"/>
      <c r="G10" s="3"/>
      <c r="H10" s="3"/>
    </row>
  </sheetData>
  <sheetProtection password="DBF4" sheet="1" objects="1" scenarios="1"/>
  <mergeCells count="2">
    <mergeCell ref="C2:G2"/>
    <mergeCell ref="C8:D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rgb="FF00B050"/>
  </sheetPr>
  <dimension ref="A1:F21"/>
  <sheetViews>
    <sheetView workbookViewId="0">
      <selection activeCell="B12" sqref="B12"/>
    </sheetView>
  </sheetViews>
  <sheetFormatPr defaultRowHeight="15" x14ac:dyDescent="0.25"/>
  <cols>
    <col min="1" max="1" width="40.85546875" customWidth="1"/>
    <col min="2" max="2" width="57.85546875" style="2" customWidth="1"/>
    <col min="3" max="3" width="14.28515625" style="2" customWidth="1"/>
    <col min="4" max="4" width="15.5703125" customWidth="1"/>
    <col min="5" max="5" width="19" customWidth="1"/>
  </cols>
  <sheetData>
    <row r="1" spans="1:6" ht="32.25" customHeight="1" x14ac:dyDescent="0.25">
      <c r="A1" s="16" t="s">
        <v>6</v>
      </c>
      <c r="B1" s="16" t="s">
        <v>35</v>
      </c>
      <c r="C1" s="154" t="s">
        <v>30</v>
      </c>
      <c r="D1" s="154"/>
      <c r="E1" s="154"/>
      <c r="F1" s="3"/>
    </row>
    <row r="2" spans="1:6" ht="32.25" customHeight="1" x14ac:dyDescent="0.25">
      <c r="A2" s="5" t="s">
        <v>13</v>
      </c>
      <c r="B2" s="4"/>
      <c r="C2" s="153"/>
      <c r="D2" s="153"/>
      <c r="E2" s="153"/>
      <c r="F2" s="3"/>
    </row>
    <row r="3" spans="1:6" x14ac:dyDescent="0.25">
      <c r="A3" s="6" t="s">
        <v>8</v>
      </c>
      <c r="B3" s="69" t="s">
        <v>8</v>
      </c>
      <c r="C3" s="55"/>
      <c r="D3" s="55"/>
      <c r="E3" s="55"/>
      <c r="F3" s="3"/>
    </row>
    <row r="4" spans="1:6" x14ac:dyDescent="0.25">
      <c r="A4" s="6" t="s">
        <v>9</v>
      </c>
      <c r="B4" s="69" t="s">
        <v>9</v>
      </c>
      <c r="C4" s="13"/>
      <c r="D4" s="13"/>
      <c r="E4" s="13"/>
      <c r="F4" s="3"/>
    </row>
    <row r="5" spans="1:6" x14ac:dyDescent="0.25">
      <c r="A5" s="6" t="s">
        <v>10</v>
      </c>
      <c r="B5" s="69" t="s">
        <v>10</v>
      </c>
      <c r="C5" s="13"/>
      <c r="D5" s="13"/>
      <c r="E5" s="13"/>
      <c r="F5" s="3"/>
    </row>
    <row r="6" spans="1:6" x14ac:dyDescent="0.25">
      <c r="A6" s="106" t="s">
        <v>11</v>
      </c>
      <c r="B6" s="69" t="s">
        <v>157</v>
      </c>
      <c r="C6" s="155" t="s">
        <v>52</v>
      </c>
      <c r="D6" s="156"/>
      <c r="E6" s="14"/>
      <c r="F6" s="3"/>
    </row>
    <row r="7" spans="1:6" x14ac:dyDescent="0.25">
      <c r="A7" s="6" t="s">
        <v>12</v>
      </c>
      <c r="B7" s="69"/>
      <c r="C7" s="13"/>
      <c r="D7" s="13"/>
      <c r="E7" s="13"/>
      <c r="F7" s="3"/>
    </row>
    <row r="8" spans="1:6" ht="47.25" customHeight="1" x14ac:dyDescent="0.25">
      <c r="A8" s="11" t="s">
        <v>25</v>
      </c>
      <c r="B8" s="69"/>
      <c r="C8" s="118" t="s">
        <v>56</v>
      </c>
      <c r="D8" s="157" t="s">
        <v>57</v>
      </c>
      <c r="E8" s="158"/>
      <c r="F8" s="3"/>
    </row>
    <row r="9" spans="1:6" x14ac:dyDescent="0.25">
      <c r="A9" s="65" t="s">
        <v>26</v>
      </c>
      <c r="B9" s="70"/>
      <c r="C9" s="57"/>
      <c r="D9" s="159"/>
      <c r="E9" s="160"/>
      <c r="F9" s="3"/>
    </row>
    <row r="10" spans="1:6" ht="15.75" x14ac:dyDescent="0.25">
      <c r="A10" s="68" t="s">
        <v>14</v>
      </c>
      <c r="B10" s="61"/>
      <c r="C10" s="63"/>
      <c r="D10" s="63"/>
      <c r="E10" s="64"/>
      <c r="F10" s="3"/>
    </row>
    <row r="11" spans="1:6" x14ac:dyDescent="0.25">
      <c r="A11" s="66" t="s">
        <v>15</v>
      </c>
      <c r="B11" s="71"/>
      <c r="C11" s="67" t="s">
        <v>54</v>
      </c>
      <c r="D11" s="67" t="s">
        <v>54</v>
      </c>
      <c r="E11" s="67"/>
      <c r="F11" s="3"/>
    </row>
    <row r="12" spans="1:6" x14ac:dyDescent="0.25">
      <c r="A12" s="12" t="s">
        <v>53</v>
      </c>
      <c r="B12" s="141" t="s">
        <v>16</v>
      </c>
      <c r="C12" s="14" t="s">
        <v>16</v>
      </c>
      <c r="D12" s="14"/>
      <c r="E12" s="14"/>
      <c r="F12" s="3"/>
    </row>
    <row r="13" spans="1:6" x14ac:dyDescent="0.25">
      <c r="A13" s="12"/>
      <c r="B13" s="142"/>
      <c r="C13" s="14"/>
      <c r="D13" s="14"/>
      <c r="E13" s="14"/>
      <c r="F13" s="3"/>
    </row>
    <row r="14" spans="1:6" ht="30" x14ac:dyDescent="0.25">
      <c r="A14" s="56" t="s">
        <v>18</v>
      </c>
      <c r="B14" s="70"/>
      <c r="C14" s="57"/>
      <c r="D14" s="57"/>
      <c r="E14" s="57"/>
      <c r="F14" s="3"/>
    </row>
    <row r="15" spans="1:6" x14ac:dyDescent="0.25">
      <c r="A15" s="56" t="s">
        <v>77</v>
      </c>
      <c r="B15" s="70"/>
      <c r="C15" s="161" t="s">
        <v>82</v>
      </c>
      <c r="D15" s="162"/>
      <c r="E15" s="163"/>
      <c r="F15" s="3"/>
    </row>
    <row r="16" spans="1:6" ht="30" x14ac:dyDescent="0.25">
      <c r="A16" s="60" t="s">
        <v>19</v>
      </c>
      <c r="B16" s="61"/>
      <c r="C16" s="62"/>
      <c r="D16" s="63"/>
      <c r="E16" s="64"/>
      <c r="F16" s="3"/>
    </row>
    <row r="17" spans="1:6" x14ac:dyDescent="0.25">
      <c r="A17" s="58" t="s">
        <v>20</v>
      </c>
      <c r="B17" s="71"/>
      <c r="C17" s="59">
        <v>4</v>
      </c>
      <c r="D17" s="55"/>
      <c r="E17" s="55"/>
      <c r="F17" s="3"/>
    </row>
    <row r="18" spans="1:6" x14ac:dyDescent="0.25">
      <c r="A18" s="9" t="s">
        <v>21</v>
      </c>
      <c r="B18" s="69"/>
      <c r="C18" s="53" t="s">
        <v>47</v>
      </c>
      <c r="D18" s="13"/>
      <c r="E18" s="13"/>
      <c r="F18" s="3"/>
    </row>
    <row r="19" spans="1:6" x14ac:dyDescent="0.25">
      <c r="A19" s="8" t="s">
        <v>22</v>
      </c>
      <c r="B19" s="69"/>
      <c r="C19" s="53">
        <v>2</v>
      </c>
      <c r="D19" s="13"/>
      <c r="E19" s="13"/>
      <c r="F19" s="3"/>
    </row>
    <row r="20" spans="1:6" x14ac:dyDescent="0.25">
      <c r="A20" s="9" t="s">
        <v>23</v>
      </c>
      <c r="B20" s="69"/>
      <c r="C20" s="53" t="s">
        <v>34</v>
      </c>
      <c r="D20" s="13"/>
      <c r="E20" s="13"/>
      <c r="F20" s="3"/>
    </row>
    <row r="21" spans="1:6" x14ac:dyDescent="0.25">
      <c r="A21" s="3"/>
      <c r="B21" s="4"/>
      <c r="C21" s="4"/>
      <c r="D21" s="3"/>
      <c r="E21" s="3"/>
      <c r="F21" s="3"/>
    </row>
  </sheetData>
  <sheetProtection password="DBF4" sheet="1" objects="1" scenarios="1"/>
  <mergeCells count="5">
    <mergeCell ref="C2:E2"/>
    <mergeCell ref="C1:E1"/>
    <mergeCell ref="C6:D6"/>
    <mergeCell ref="D8:E9"/>
    <mergeCell ref="C15:E15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rgb="FF00B050"/>
  </sheetPr>
  <dimension ref="A1:F135"/>
  <sheetViews>
    <sheetView topLeftCell="A51" zoomScaleNormal="100" workbookViewId="0">
      <selection activeCell="B69" sqref="B69"/>
    </sheetView>
  </sheetViews>
  <sheetFormatPr defaultRowHeight="15" x14ac:dyDescent="0.25"/>
  <cols>
    <col min="2" max="2" width="75.42578125" customWidth="1"/>
    <col min="3" max="3" width="20.42578125" customWidth="1"/>
    <col min="4" max="4" width="25.42578125" customWidth="1"/>
    <col min="5" max="5" width="12.42578125" style="26" customWidth="1"/>
    <col min="6" max="6" width="42.85546875" customWidth="1"/>
  </cols>
  <sheetData>
    <row r="1" spans="1:6" ht="108.95" customHeight="1" x14ac:dyDescent="0.25">
      <c r="A1" s="3"/>
      <c r="B1" s="74" t="s">
        <v>78</v>
      </c>
      <c r="C1" s="74" t="s">
        <v>79</v>
      </c>
      <c r="D1" s="74" t="s">
        <v>24</v>
      </c>
      <c r="E1" s="72" t="s">
        <v>80</v>
      </c>
      <c r="F1" s="3"/>
    </row>
    <row r="2" spans="1:6" x14ac:dyDescent="0.25">
      <c r="A2" s="75">
        <v>1</v>
      </c>
      <c r="B2" s="51" t="s">
        <v>158</v>
      </c>
      <c r="C2" s="52" t="s">
        <v>148</v>
      </c>
      <c r="D2" s="51" t="s">
        <v>149</v>
      </c>
      <c r="E2" s="73">
        <f>LEN(B2)</f>
        <v>12</v>
      </c>
      <c r="F2" s="3"/>
    </row>
    <row r="3" spans="1:6" x14ac:dyDescent="0.25">
      <c r="A3" s="75">
        <v>2</v>
      </c>
      <c r="B3" s="51" t="s">
        <v>153</v>
      </c>
      <c r="C3" s="52" t="s">
        <v>148</v>
      </c>
      <c r="D3" s="51" t="s">
        <v>149</v>
      </c>
      <c r="E3" s="73">
        <f t="shared" ref="E3:E66" si="0">LEN(B3)</f>
        <v>12</v>
      </c>
      <c r="F3" s="3"/>
    </row>
    <row r="4" spans="1:6" x14ac:dyDescent="0.25">
      <c r="A4" s="75">
        <v>3</v>
      </c>
      <c r="B4" s="51" t="s">
        <v>154</v>
      </c>
      <c r="C4" s="52" t="s">
        <v>148</v>
      </c>
      <c r="D4" s="51" t="s">
        <v>149</v>
      </c>
      <c r="E4" s="73">
        <f t="shared" si="0"/>
        <v>12</v>
      </c>
      <c r="F4" s="3"/>
    </row>
    <row r="5" spans="1:6" x14ac:dyDescent="0.25">
      <c r="A5" s="75">
        <v>4</v>
      </c>
      <c r="B5" s="51" t="s">
        <v>83</v>
      </c>
      <c r="C5" s="52" t="s">
        <v>148</v>
      </c>
      <c r="D5" s="51" t="s">
        <v>149</v>
      </c>
      <c r="E5" s="73">
        <f t="shared" si="0"/>
        <v>12</v>
      </c>
      <c r="F5" s="3"/>
    </row>
    <row r="6" spans="1:6" x14ac:dyDescent="0.25">
      <c r="A6" s="75">
        <v>5</v>
      </c>
      <c r="B6" s="51" t="s">
        <v>84</v>
      </c>
      <c r="C6" s="52" t="s">
        <v>148</v>
      </c>
      <c r="D6" s="51" t="s">
        <v>149</v>
      </c>
      <c r="E6" s="73">
        <f t="shared" si="0"/>
        <v>12</v>
      </c>
      <c r="F6" s="3"/>
    </row>
    <row r="7" spans="1:6" x14ac:dyDescent="0.25">
      <c r="A7" s="75">
        <v>6</v>
      </c>
      <c r="B7" s="51" t="s">
        <v>85</v>
      </c>
      <c r="C7" s="52" t="s">
        <v>148</v>
      </c>
      <c r="D7" s="51" t="s">
        <v>149</v>
      </c>
      <c r="E7" s="73">
        <f t="shared" si="0"/>
        <v>12</v>
      </c>
      <c r="F7" s="3"/>
    </row>
    <row r="8" spans="1:6" x14ac:dyDescent="0.25">
      <c r="A8" s="75">
        <v>7</v>
      </c>
      <c r="B8" s="51" t="s">
        <v>86</v>
      </c>
      <c r="C8" s="52" t="s">
        <v>148</v>
      </c>
      <c r="D8" s="51" t="s">
        <v>149</v>
      </c>
      <c r="E8" s="73">
        <f t="shared" si="0"/>
        <v>12</v>
      </c>
      <c r="F8" s="3"/>
    </row>
    <row r="9" spans="1:6" x14ac:dyDescent="0.25">
      <c r="A9" s="75">
        <v>8</v>
      </c>
      <c r="B9" s="51" t="s">
        <v>87</v>
      </c>
      <c r="C9" s="52" t="s">
        <v>148</v>
      </c>
      <c r="D9" s="51" t="s">
        <v>149</v>
      </c>
      <c r="E9" s="73">
        <f t="shared" si="0"/>
        <v>12</v>
      </c>
      <c r="F9" s="3"/>
    </row>
    <row r="10" spans="1:6" x14ac:dyDescent="0.25">
      <c r="A10" s="75">
        <v>9</v>
      </c>
      <c r="B10" s="51" t="s">
        <v>88</v>
      </c>
      <c r="C10" s="52" t="s">
        <v>148</v>
      </c>
      <c r="D10" s="51" t="s">
        <v>149</v>
      </c>
      <c r="E10" s="73">
        <f t="shared" si="0"/>
        <v>12</v>
      </c>
      <c r="F10" s="3"/>
    </row>
    <row r="11" spans="1:6" x14ac:dyDescent="0.25">
      <c r="A11" s="75">
        <v>10</v>
      </c>
      <c r="B11" s="51" t="s">
        <v>89</v>
      </c>
      <c r="C11" s="52" t="s">
        <v>148</v>
      </c>
      <c r="D11" s="51" t="s">
        <v>149</v>
      </c>
      <c r="E11" s="73">
        <f t="shared" si="0"/>
        <v>13</v>
      </c>
      <c r="F11" s="3"/>
    </row>
    <row r="12" spans="1:6" x14ac:dyDescent="0.25">
      <c r="A12" s="75">
        <v>11</v>
      </c>
      <c r="B12" s="51" t="s">
        <v>90</v>
      </c>
      <c r="C12" s="52" t="s">
        <v>148</v>
      </c>
      <c r="D12" s="51" t="s">
        <v>149</v>
      </c>
      <c r="E12" s="73">
        <f t="shared" si="0"/>
        <v>13</v>
      </c>
      <c r="F12" s="3"/>
    </row>
    <row r="13" spans="1:6" x14ac:dyDescent="0.25">
      <c r="A13" s="75">
        <v>12</v>
      </c>
      <c r="B13" s="51" t="s">
        <v>91</v>
      </c>
      <c r="C13" s="52" t="s">
        <v>148</v>
      </c>
      <c r="D13" s="51" t="s">
        <v>149</v>
      </c>
      <c r="E13" s="73">
        <f t="shared" si="0"/>
        <v>13</v>
      </c>
      <c r="F13" s="3"/>
    </row>
    <row r="14" spans="1:6" x14ac:dyDescent="0.25">
      <c r="A14" s="75">
        <v>13</v>
      </c>
      <c r="B14" s="51" t="s">
        <v>92</v>
      </c>
      <c r="C14" s="52" t="s">
        <v>148</v>
      </c>
      <c r="D14" s="51" t="s">
        <v>149</v>
      </c>
      <c r="E14" s="73">
        <f t="shared" si="0"/>
        <v>13</v>
      </c>
      <c r="F14" s="3"/>
    </row>
    <row r="15" spans="1:6" x14ac:dyDescent="0.25">
      <c r="A15" s="75">
        <v>14</v>
      </c>
      <c r="B15" s="51" t="s">
        <v>93</v>
      </c>
      <c r="C15" s="52" t="s">
        <v>148</v>
      </c>
      <c r="D15" s="51" t="s">
        <v>149</v>
      </c>
      <c r="E15" s="73">
        <f t="shared" si="0"/>
        <v>13</v>
      </c>
      <c r="F15" s="3"/>
    </row>
    <row r="16" spans="1:6" x14ac:dyDescent="0.25">
      <c r="A16" s="75">
        <v>15</v>
      </c>
      <c r="B16" s="51" t="s">
        <v>94</v>
      </c>
      <c r="C16" s="52" t="s">
        <v>148</v>
      </c>
      <c r="D16" s="51" t="s">
        <v>149</v>
      </c>
      <c r="E16" s="73">
        <f t="shared" si="0"/>
        <v>13</v>
      </c>
      <c r="F16" s="3"/>
    </row>
    <row r="17" spans="1:6" x14ac:dyDescent="0.25">
      <c r="A17" s="75">
        <v>16</v>
      </c>
      <c r="B17" s="51" t="s">
        <v>95</v>
      </c>
      <c r="C17" s="52" t="s">
        <v>148</v>
      </c>
      <c r="D17" s="51" t="s">
        <v>149</v>
      </c>
      <c r="E17" s="73">
        <f t="shared" si="0"/>
        <v>13</v>
      </c>
      <c r="F17" s="3"/>
    </row>
    <row r="18" spans="1:6" x14ac:dyDescent="0.25">
      <c r="A18" s="75">
        <v>17</v>
      </c>
      <c r="B18" s="51" t="s">
        <v>96</v>
      </c>
      <c r="C18" s="52" t="s">
        <v>148</v>
      </c>
      <c r="D18" s="51" t="s">
        <v>149</v>
      </c>
      <c r="E18" s="73">
        <f t="shared" si="0"/>
        <v>13</v>
      </c>
      <c r="F18" s="3"/>
    </row>
    <row r="19" spans="1:6" x14ac:dyDescent="0.25">
      <c r="A19" s="75">
        <v>18</v>
      </c>
      <c r="B19" s="51" t="s">
        <v>97</v>
      </c>
      <c r="C19" s="52" t="s">
        <v>148</v>
      </c>
      <c r="D19" s="51" t="s">
        <v>149</v>
      </c>
      <c r="E19" s="73">
        <f t="shared" si="0"/>
        <v>13</v>
      </c>
      <c r="F19" s="3"/>
    </row>
    <row r="20" spans="1:6" x14ac:dyDescent="0.25">
      <c r="A20" s="75">
        <v>19</v>
      </c>
      <c r="B20" s="51" t="s">
        <v>98</v>
      </c>
      <c r="C20" s="52" t="s">
        <v>148</v>
      </c>
      <c r="D20" s="51" t="s">
        <v>149</v>
      </c>
      <c r="E20" s="73">
        <f t="shared" si="0"/>
        <v>13</v>
      </c>
      <c r="F20" s="3"/>
    </row>
    <row r="21" spans="1:6" x14ac:dyDescent="0.25">
      <c r="A21" s="75">
        <v>20</v>
      </c>
      <c r="B21" s="51" t="s">
        <v>99</v>
      </c>
      <c r="C21" s="52" t="s">
        <v>148</v>
      </c>
      <c r="D21" s="51" t="s">
        <v>149</v>
      </c>
      <c r="E21" s="73">
        <f t="shared" si="0"/>
        <v>13</v>
      </c>
      <c r="F21" s="3"/>
    </row>
    <row r="22" spans="1:6" x14ac:dyDescent="0.25">
      <c r="A22" s="75">
        <v>21</v>
      </c>
      <c r="B22" s="51" t="s">
        <v>100</v>
      </c>
      <c r="C22" s="52" t="s">
        <v>148</v>
      </c>
      <c r="D22" s="51" t="s">
        <v>149</v>
      </c>
      <c r="E22" s="73">
        <f t="shared" si="0"/>
        <v>13</v>
      </c>
      <c r="F22" s="3"/>
    </row>
    <row r="23" spans="1:6" x14ac:dyDescent="0.25">
      <c r="A23" s="75">
        <v>22</v>
      </c>
      <c r="B23" s="51" t="s">
        <v>101</v>
      </c>
      <c r="C23" s="52" t="s">
        <v>148</v>
      </c>
      <c r="D23" s="51" t="s">
        <v>149</v>
      </c>
      <c r="E23" s="73">
        <f t="shared" si="0"/>
        <v>13</v>
      </c>
      <c r="F23" s="3"/>
    </row>
    <row r="24" spans="1:6" x14ac:dyDescent="0.25">
      <c r="A24" s="75">
        <v>23</v>
      </c>
      <c r="B24" s="51" t="s">
        <v>102</v>
      </c>
      <c r="C24" s="52" t="s">
        <v>148</v>
      </c>
      <c r="D24" s="51" t="s">
        <v>149</v>
      </c>
      <c r="E24" s="73">
        <f t="shared" si="0"/>
        <v>13</v>
      </c>
      <c r="F24" s="3"/>
    </row>
    <row r="25" spans="1:6" x14ac:dyDescent="0.25">
      <c r="A25" s="75">
        <v>24</v>
      </c>
      <c r="B25" s="51" t="s">
        <v>103</v>
      </c>
      <c r="C25" s="52" t="s">
        <v>148</v>
      </c>
      <c r="D25" s="51" t="s">
        <v>149</v>
      </c>
      <c r="E25" s="73">
        <f t="shared" si="0"/>
        <v>13</v>
      </c>
      <c r="F25" s="3"/>
    </row>
    <row r="26" spans="1:6" x14ac:dyDescent="0.25">
      <c r="A26" s="75">
        <v>25</v>
      </c>
      <c r="B26" s="51" t="s">
        <v>104</v>
      </c>
      <c r="C26" s="52" t="s">
        <v>148</v>
      </c>
      <c r="D26" s="51" t="s">
        <v>149</v>
      </c>
      <c r="E26" s="73">
        <f t="shared" si="0"/>
        <v>13</v>
      </c>
      <c r="F26" s="3"/>
    </row>
    <row r="27" spans="1:6" x14ac:dyDescent="0.25">
      <c r="A27" s="75">
        <v>26</v>
      </c>
      <c r="B27" s="51" t="s">
        <v>105</v>
      </c>
      <c r="C27" s="52" t="s">
        <v>148</v>
      </c>
      <c r="D27" s="51" t="s">
        <v>149</v>
      </c>
      <c r="E27" s="73">
        <f t="shared" si="0"/>
        <v>13</v>
      </c>
      <c r="F27" s="3"/>
    </row>
    <row r="28" spans="1:6" x14ac:dyDescent="0.25">
      <c r="A28" s="75">
        <v>27</v>
      </c>
      <c r="B28" s="51" t="s">
        <v>106</v>
      </c>
      <c r="C28" s="52" t="s">
        <v>148</v>
      </c>
      <c r="D28" s="51" t="s">
        <v>149</v>
      </c>
      <c r="E28" s="73">
        <f t="shared" si="0"/>
        <v>13</v>
      </c>
      <c r="F28" s="3"/>
    </row>
    <row r="29" spans="1:6" x14ac:dyDescent="0.25">
      <c r="A29" s="75">
        <v>28</v>
      </c>
      <c r="B29" s="51" t="s">
        <v>107</v>
      </c>
      <c r="C29" s="52" t="s">
        <v>148</v>
      </c>
      <c r="D29" s="51" t="s">
        <v>149</v>
      </c>
      <c r="E29" s="73">
        <f t="shared" si="0"/>
        <v>13</v>
      </c>
      <c r="F29" s="3"/>
    </row>
    <row r="30" spans="1:6" x14ac:dyDescent="0.25">
      <c r="A30" s="75">
        <v>29</v>
      </c>
      <c r="B30" s="51" t="s">
        <v>108</v>
      </c>
      <c r="C30" s="52" t="s">
        <v>148</v>
      </c>
      <c r="D30" s="51" t="s">
        <v>149</v>
      </c>
      <c r="E30" s="73">
        <f t="shared" si="0"/>
        <v>13</v>
      </c>
      <c r="F30" s="3"/>
    </row>
    <row r="31" spans="1:6" x14ac:dyDescent="0.25">
      <c r="A31" s="75">
        <v>30</v>
      </c>
      <c r="B31" s="51" t="s">
        <v>109</v>
      </c>
      <c r="C31" s="52" t="s">
        <v>148</v>
      </c>
      <c r="D31" s="51" t="s">
        <v>149</v>
      </c>
      <c r="E31" s="73">
        <f t="shared" si="0"/>
        <v>13</v>
      </c>
      <c r="F31" s="3"/>
    </row>
    <row r="32" spans="1:6" x14ac:dyDescent="0.25">
      <c r="A32" s="75">
        <v>31</v>
      </c>
      <c r="B32" s="51" t="s">
        <v>110</v>
      </c>
      <c r="C32" s="52" t="s">
        <v>148</v>
      </c>
      <c r="D32" s="51" t="s">
        <v>149</v>
      </c>
      <c r="E32" s="73">
        <f t="shared" si="0"/>
        <v>13</v>
      </c>
      <c r="F32" s="3"/>
    </row>
    <row r="33" spans="1:6" x14ac:dyDescent="0.25">
      <c r="A33" s="75">
        <v>32</v>
      </c>
      <c r="B33" s="51" t="s">
        <v>111</v>
      </c>
      <c r="C33" s="52" t="s">
        <v>148</v>
      </c>
      <c r="D33" s="51" t="s">
        <v>149</v>
      </c>
      <c r="E33" s="73">
        <f t="shared" si="0"/>
        <v>13</v>
      </c>
      <c r="F33" s="3"/>
    </row>
    <row r="34" spans="1:6" x14ac:dyDescent="0.25">
      <c r="A34" s="75">
        <v>33</v>
      </c>
      <c r="B34" s="51" t="s">
        <v>112</v>
      </c>
      <c r="C34" s="52" t="s">
        <v>148</v>
      </c>
      <c r="D34" s="51" t="s">
        <v>149</v>
      </c>
      <c r="E34" s="73">
        <f t="shared" si="0"/>
        <v>13</v>
      </c>
      <c r="F34" s="3"/>
    </row>
    <row r="35" spans="1:6" x14ac:dyDescent="0.25">
      <c r="A35" s="75">
        <v>34</v>
      </c>
      <c r="B35" s="51" t="s">
        <v>113</v>
      </c>
      <c r="C35" s="52" t="s">
        <v>148</v>
      </c>
      <c r="D35" s="51" t="s">
        <v>149</v>
      </c>
      <c r="E35" s="73">
        <f t="shared" si="0"/>
        <v>13</v>
      </c>
      <c r="F35" s="3"/>
    </row>
    <row r="36" spans="1:6" x14ac:dyDescent="0.25">
      <c r="A36" s="75">
        <v>35</v>
      </c>
      <c r="B36" s="51" t="s">
        <v>114</v>
      </c>
      <c r="C36" s="52" t="s">
        <v>148</v>
      </c>
      <c r="D36" s="51" t="s">
        <v>149</v>
      </c>
      <c r="E36" s="73">
        <f t="shared" si="0"/>
        <v>13</v>
      </c>
      <c r="F36" s="3"/>
    </row>
    <row r="37" spans="1:6" x14ac:dyDescent="0.25">
      <c r="A37" s="75">
        <v>36</v>
      </c>
      <c r="B37" s="51" t="s">
        <v>115</v>
      </c>
      <c r="C37" s="52" t="s">
        <v>148</v>
      </c>
      <c r="D37" s="51" t="s">
        <v>149</v>
      </c>
      <c r="E37" s="73">
        <f t="shared" si="0"/>
        <v>13</v>
      </c>
      <c r="F37" s="3"/>
    </row>
    <row r="38" spans="1:6" x14ac:dyDescent="0.25">
      <c r="A38" s="75">
        <v>37</v>
      </c>
      <c r="B38" s="51" t="s">
        <v>116</v>
      </c>
      <c r="C38" s="52" t="s">
        <v>148</v>
      </c>
      <c r="D38" s="51" t="s">
        <v>149</v>
      </c>
      <c r="E38" s="73">
        <f t="shared" si="0"/>
        <v>13</v>
      </c>
      <c r="F38" s="3"/>
    </row>
    <row r="39" spans="1:6" x14ac:dyDescent="0.25">
      <c r="A39" s="75">
        <v>38</v>
      </c>
      <c r="B39" s="51" t="s">
        <v>117</v>
      </c>
      <c r="C39" s="52" t="s">
        <v>148</v>
      </c>
      <c r="D39" s="51" t="s">
        <v>149</v>
      </c>
      <c r="E39" s="73">
        <f t="shared" si="0"/>
        <v>13</v>
      </c>
      <c r="F39" s="3"/>
    </row>
    <row r="40" spans="1:6" x14ac:dyDescent="0.25">
      <c r="A40" s="75">
        <v>39</v>
      </c>
      <c r="B40" s="51" t="s">
        <v>118</v>
      </c>
      <c r="C40" s="52" t="s">
        <v>148</v>
      </c>
      <c r="D40" s="51" t="s">
        <v>149</v>
      </c>
      <c r="E40" s="73">
        <f t="shared" si="0"/>
        <v>13</v>
      </c>
      <c r="F40" s="3"/>
    </row>
    <row r="41" spans="1:6" x14ac:dyDescent="0.25">
      <c r="A41" s="75">
        <v>40</v>
      </c>
      <c r="B41" s="51" t="s">
        <v>119</v>
      </c>
      <c r="C41" s="52" t="s">
        <v>148</v>
      </c>
      <c r="D41" s="51" t="s">
        <v>149</v>
      </c>
      <c r="E41" s="73">
        <f t="shared" si="0"/>
        <v>13</v>
      </c>
      <c r="F41" s="3"/>
    </row>
    <row r="42" spans="1:6" x14ac:dyDescent="0.25">
      <c r="A42" s="75">
        <v>41</v>
      </c>
      <c r="B42" s="51" t="s">
        <v>120</v>
      </c>
      <c r="C42" s="52" t="s">
        <v>148</v>
      </c>
      <c r="D42" s="51" t="s">
        <v>149</v>
      </c>
      <c r="E42" s="73">
        <f t="shared" si="0"/>
        <v>13</v>
      </c>
      <c r="F42" s="3"/>
    </row>
    <row r="43" spans="1:6" x14ac:dyDescent="0.25">
      <c r="A43" s="75">
        <v>42</v>
      </c>
      <c r="B43" s="51" t="s">
        <v>121</v>
      </c>
      <c r="C43" s="52" t="s">
        <v>148</v>
      </c>
      <c r="D43" s="51" t="s">
        <v>149</v>
      </c>
      <c r="E43" s="73">
        <f t="shared" si="0"/>
        <v>13</v>
      </c>
      <c r="F43" s="3"/>
    </row>
    <row r="44" spans="1:6" x14ac:dyDescent="0.25">
      <c r="A44" s="75">
        <v>43</v>
      </c>
      <c r="B44" s="51" t="s">
        <v>122</v>
      </c>
      <c r="C44" s="52" t="s">
        <v>148</v>
      </c>
      <c r="D44" s="51" t="s">
        <v>149</v>
      </c>
      <c r="E44" s="73">
        <f t="shared" si="0"/>
        <v>13</v>
      </c>
      <c r="F44" s="3"/>
    </row>
    <row r="45" spans="1:6" x14ac:dyDescent="0.25">
      <c r="A45" s="75">
        <v>44</v>
      </c>
      <c r="B45" s="51" t="s">
        <v>123</v>
      </c>
      <c r="C45" s="52" t="s">
        <v>148</v>
      </c>
      <c r="D45" s="51" t="s">
        <v>149</v>
      </c>
      <c r="E45" s="73">
        <f t="shared" si="0"/>
        <v>13</v>
      </c>
      <c r="F45" s="3"/>
    </row>
    <row r="46" spans="1:6" x14ac:dyDescent="0.25">
      <c r="A46" s="75">
        <v>45</v>
      </c>
      <c r="B46" s="51" t="s">
        <v>124</v>
      </c>
      <c r="C46" s="52" t="s">
        <v>148</v>
      </c>
      <c r="D46" s="51" t="s">
        <v>149</v>
      </c>
      <c r="E46" s="73">
        <f t="shared" si="0"/>
        <v>13</v>
      </c>
      <c r="F46" s="3"/>
    </row>
    <row r="47" spans="1:6" x14ac:dyDescent="0.25">
      <c r="A47" s="75">
        <v>46</v>
      </c>
      <c r="B47" s="51" t="s">
        <v>125</v>
      </c>
      <c r="C47" s="52" t="s">
        <v>148</v>
      </c>
      <c r="D47" s="51" t="s">
        <v>149</v>
      </c>
      <c r="E47" s="73">
        <f t="shared" si="0"/>
        <v>13</v>
      </c>
      <c r="F47" s="3"/>
    </row>
    <row r="48" spans="1:6" x14ac:dyDescent="0.25">
      <c r="A48" s="75">
        <v>47</v>
      </c>
      <c r="B48" s="51" t="s">
        <v>126</v>
      </c>
      <c r="C48" s="52" t="s">
        <v>148</v>
      </c>
      <c r="D48" s="51" t="s">
        <v>149</v>
      </c>
      <c r="E48" s="73">
        <f t="shared" si="0"/>
        <v>13</v>
      </c>
      <c r="F48" s="3"/>
    </row>
    <row r="49" spans="1:6" x14ac:dyDescent="0.25">
      <c r="A49" s="75">
        <v>48</v>
      </c>
      <c r="B49" s="51" t="s">
        <v>127</v>
      </c>
      <c r="C49" s="52" t="s">
        <v>148</v>
      </c>
      <c r="D49" s="51" t="s">
        <v>149</v>
      </c>
      <c r="E49" s="73">
        <f t="shared" si="0"/>
        <v>13</v>
      </c>
      <c r="F49" s="3"/>
    </row>
    <row r="50" spans="1:6" x14ac:dyDescent="0.25">
      <c r="A50" s="75">
        <v>49</v>
      </c>
      <c r="B50" s="51" t="s">
        <v>128</v>
      </c>
      <c r="C50" s="52" t="s">
        <v>148</v>
      </c>
      <c r="D50" s="51" t="s">
        <v>149</v>
      </c>
      <c r="E50" s="73">
        <f t="shared" si="0"/>
        <v>13</v>
      </c>
      <c r="F50" s="3"/>
    </row>
    <row r="51" spans="1:6" x14ac:dyDescent="0.25">
      <c r="A51" s="75">
        <v>50</v>
      </c>
      <c r="B51" s="51" t="s">
        <v>129</v>
      </c>
      <c r="C51" s="52" t="s">
        <v>148</v>
      </c>
      <c r="D51" s="51" t="s">
        <v>149</v>
      </c>
      <c r="E51" s="73">
        <f t="shared" si="0"/>
        <v>13</v>
      </c>
      <c r="F51" s="3"/>
    </row>
    <row r="52" spans="1:6" x14ac:dyDescent="0.25">
      <c r="A52" s="75">
        <v>51</v>
      </c>
      <c r="B52" s="51" t="s">
        <v>130</v>
      </c>
      <c r="C52" s="52" t="s">
        <v>148</v>
      </c>
      <c r="D52" s="51" t="s">
        <v>149</v>
      </c>
      <c r="E52" s="73">
        <f t="shared" si="0"/>
        <v>13</v>
      </c>
      <c r="F52" s="3"/>
    </row>
    <row r="53" spans="1:6" x14ac:dyDescent="0.25">
      <c r="A53" s="75">
        <v>52</v>
      </c>
      <c r="B53" s="51" t="s">
        <v>131</v>
      </c>
      <c r="C53" s="52" t="s">
        <v>148</v>
      </c>
      <c r="D53" s="51" t="s">
        <v>149</v>
      </c>
      <c r="E53" s="73">
        <f t="shared" si="0"/>
        <v>13</v>
      </c>
      <c r="F53" s="3"/>
    </row>
    <row r="54" spans="1:6" x14ac:dyDescent="0.25">
      <c r="A54" s="75">
        <v>53</v>
      </c>
      <c r="B54" s="51" t="s">
        <v>132</v>
      </c>
      <c r="C54" s="52" t="s">
        <v>148</v>
      </c>
      <c r="D54" s="51" t="s">
        <v>149</v>
      </c>
      <c r="E54" s="73">
        <f t="shared" si="0"/>
        <v>13</v>
      </c>
      <c r="F54" s="3"/>
    </row>
    <row r="55" spans="1:6" x14ac:dyDescent="0.25">
      <c r="A55" s="75">
        <v>54</v>
      </c>
      <c r="B55" s="51" t="s">
        <v>133</v>
      </c>
      <c r="C55" s="52" t="s">
        <v>148</v>
      </c>
      <c r="D55" s="51" t="s">
        <v>149</v>
      </c>
      <c r="E55" s="73">
        <f t="shared" si="0"/>
        <v>13</v>
      </c>
      <c r="F55" s="3"/>
    </row>
    <row r="56" spans="1:6" x14ac:dyDescent="0.25">
      <c r="A56" s="75">
        <v>55</v>
      </c>
      <c r="B56" s="51" t="s">
        <v>134</v>
      </c>
      <c r="C56" s="52" t="s">
        <v>148</v>
      </c>
      <c r="D56" s="51" t="s">
        <v>149</v>
      </c>
      <c r="E56" s="73">
        <f t="shared" si="0"/>
        <v>13</v>
      </c>
      <c r="F56" s="3"/>
    </row>
    <row r="57" spans="1:6" x14ac:dyDescent="0.25">
      <c r="A57" s="75">
        <v>56</v>
      </c>
      <c r="B57" s="51" t="s">
        <v>135</v>
      </c>
      <c r="C57" s="52" t="s">
        <v>148</v>
      </c>
      <c r="D57" s="51" t="s">
        <v>149</v>
      </c>
      <c r="E57" s="73">
        <f t="shared" si="0"/>
        <v>13</v>
      </c>
      <c r="F57" s="3"/>
    </row>
    <row r="58" spans="1:6" x14ac:dyDescent="0.25">
      <c r="A58" s="75">
        <v>57</v>
      </c>
      <c r="B58" s="51" t="s">
        <v>136</v>
      </c>
      <c r="C58" s="52" t="s">
        <v>148</v>
      </c>
      <c r="D58" s="51" t="s">
        <v>149</v>
      </c>
      <c r="E58" s="73">
        <f t="shared" si="0"/>
        <v>13</v>
      </c>
      <c r="F58" s="3"/>
    </row>
    <row r="59" spans="1:6" x14ac:dyDescent="0.25">
      <c r="A59" s="75">
        <v>58</v>
      </c>
      <c r="B59" s="51" t="s">
        <v>137</v>
      </c>
      <c r="C59" s="52" t="s">
        <v>148</v>
      </c>
      <c r="D59" s="51" t="s">
        <v>149</v>
      </c>
      <c r="E59" s="73">
        <f t="shared" si="0"/>
        <v>13</v>
      </c>
      <c r="F59" s="3"/>
    </row>
    <row r="60" spans="1:6" x14ac:dyDescent="0.25">
      <c r="A60" s="75">
        <v>59</v>
      </c>
      <c r="B60" s="51" t="s">
        <v>138</v>
      </c>
      <c r="C60" s="52" t="s">
        <v>148</v>
      </c>
      <c r="D60" s="51" t="s">
        <v>149</v>
      </c>
      <c r="E60" s="73">
        <f t="shared" si="0"/>
        <v>13</v>
      </c>
      <c r="F60" s="3"/>
    </row>
    <row r="61" spans="1:6" x14ac:dyDescent="0.25">
      <c r="A61" s="75">
        <v>60</v>
      </c>
      <c r="B61" s="51" t="s">
        <v>139</v>
      </c>
      <c r="C61" s="52" t="s">
        <v>148</v>
      </c>
      <c r="D61" s="51" t="s">
        <v>149</v>
      </c>
      <c r="E61" s="73">
        <f t="shared" si="0"/>
        <v>13</v>
      </c>
      <c r="F61" s="3"/>
    </row>
    <row r="62" spans="1:6" x14ac:dyDescent="0.25">
      <c r="A62" s="75">
        <v>61</v>
      </c>
      <c r="B62" s="51" t="s">
        <v>140</v>
      </c>
      <c r="C62" s="52" t="s">
        <v>148</v>
      </c>
      <c r="D62" s="51" t="s">
        <v>149</v>
      </c>
      <c r="E62" s="73">
        <f t="shared" si="0"/>
        <v>13</v>
      </c>
      <c r="F62" s="3"/>
    </row>
    <row r="63" spans="1:6" x14ac:dyDescent="0.25">
      <c r="A63" s="75">
        <v>62</v>
      </c>
      <c r="B63" s="51" t="s">
        <v>141</v>
      </c>
      <c r="C63" s="52" t="s">
        <v>148</v>
      </c>
      <c r="D63" s="51" t="s">
        <v>149</v>
      </c>
      <c r="E63" s="73">
        <f t="shared" si="0"/>
        <v>13</v>
      </c>
      <c r="F63" s="3"/>
    </row>
    <row r="64" spans="1:6" x14ac:dyDescent="0.25">
      <c r="A64" s="75">
        <v>63</v>
      </c>
      <c r="B64" s="51" t="s">
        <v>142</v>
      </c>
      <c r="C64" s="52" t="s">
        <v>148</v>
      </c>
      <c r="D64" s="51" t="s">
        <v>149</v>
      </c>
      <c r="E64" s="73">
        <f t="shared" si="0"/>
        <v>13</v>
      </c>
      <c r="F64" s="3"/>
    </row>
    <row r="65" spans="1:6" x14ac:dyDescent="0.25">
      <c r="A65" s="75">
        <v>64</v>
      </c>
      <c r="B65" s="51" t="s">
        <v>143</v>
      </c>
      <c r="C65" s="52" t="s">
        <v>148</v>
      </c>
      <c r="D65" s="51" t="s">
        <v>149</v>
      </c>
      <c r="E65" s="73">
        <f t="shared" si="0"/>
        <v>13</v>
      </c>
      <c r="F65" s="3"/>
    </row>
    <row r="66" spans="1:6" x14ac:dyDescent="0.25">
      <c r="A66" s="75">
        <v>65</v>
      </c>
      <c r="B66" s="51" t="s">
        <v>144</v>
      </c>
      <c r="C66" s="52" t="s">
        <v>148</v>
      </c>
      <c r="D66" s="51" t="s">
        <v>149</v>
      </c>
      <c r="E66" s="73">
        <f t="shared" si="0"/>
        <v>13</v>
      </c>
      <c r="F66" s="3"/>
    </row>
    <row r="67" spans="1:6" x14ac:dyDescent="0.25">
      <c r="A67" s="49">
        <v>66</v>
      </c>
      <c r="B67" s="51" t="s">
        <v>161</v>
      </c>
      <c r="C67" s="52" t="s">
        <v>148</v>
      </c>
      <c r="D67" s="51" t="s">
        <v>149</v>
      </c>
      <c r="E67" s="73">
        <f t="shared" ref="E67:E130" si="1">LEN(B67)</f>
        <v>13</v>
      </c>
      <c r="F67" s="21" t="s">
        <v>33</v>
      </c>
    </row>
    <row r="68" spans="1:6" x14ac:dyDescent="0.25">
      <c r="A68" s="75">
        <v>67</v>
      </c>
      <c r="B68" s="51" t="s">
        <v>162</v>
      </c>
      <c r="C68" s="52" t="s">
        <v>148</v>
      </c>
      <c r="D68" s="51" t="s">
        <v>149</v>
      </c>
      <c r="E68" s="73">
        <f t="shared" si="1"/>
        <v>13</v>
      </c>
      <c r="F68" s="3"/>
    </row>
    <row r="69" spans="1:6" x14ac:dyDescent="0.25">
      <c r="A69" s="75">
        <v>68</v>
      </c>
      <c r="B69" s="51" t="s">
        <v>155</v>
      </c>
      <c r="C69" s="52" t="s">
        <v>148</v>
      </c>
      <c r="D69" s="51" t="s">
        <v>149</v>
      </c>
      <c r="E69" s="73">
        <f t="shared" si="1"/>
        <v>13</v>
      </c>
      <c r="F69" s="3"/>
    </row>
    <row r="70" spans="1:6" x14ac:dyDescent="0.25">
      <c r="A70" s="75">
        <v>69</v>
      </c>
      <c r="B70" s="51" t="s">
        <v>156</v>
      </c>
      <c r="C70" s="52" t="s">
        <v>148</v>
      </c>
      <c r="D70" s="51" t="s">
        <v>149</v>
      </c>
      <c r="E70" s="73">
        <f t="shared" si="1"/>
        <v>13</v>
      </c>
      <c r="F70" s="3"/>
    </row>
    <row r="71" spans="1:6" x14ac:dyDescent="0.25">
      <c r="A71" s="75">
        <v>70</v>
      </c>
      <c r="B71" s="51" t="s">
        <v>145</v>
      </c>
      <c r="C71" s="52" t="s">
        <v>148</v>
      </c>
      <c r="D71" s="51" t="s">
        <v>149</v>
      </c>
      <c r="E71" s="73">
        <f t="shared" si="1"/>
        <v>13</v>
      </c>
      <c r="F71" s="3"/>
    </row>
    <row r="72" spans="1:6" x14ac:dyDescent="0.25">
      <c r="A72" s="75">
        <v>71</v>
      </c>
      <c r="B72" s="120" t="s">
        <v>58</v>
      </c>
      <c r="C72" s="129" t="s">
        <v>148</v>
      </c>
      <c r="D72" s="130" t="s">
        <v>59</v>
      </c>
      <c r="E72" s="73">
        <f t="shared" si="1"/>
        <v>8</v>
      </c>
      <c r="F72" s="3"/>
    </row>
    <row r="73" spans="1:6" x14ac:dyDescent="0.25">
      <c r="A73" s="75">
        <v>72</v>
      </c>
      <c r="B73" s="120" t="s">
        <v>60</v>
      </c>
      <c r="C73" s="52"/>
      <c r="D73" s="51"/>
      <c r="E73" s="73">
        <f t="shared" si="1"/>
        <v>12</v>
      </c>
      <c r="F73" s="3"/>
    </row>
    <row r="74" spans="1:6" x14ac:dyDescent="0.25">
      <c r="A74" s="75">
        <v>73</v>
      </c>
      <c r="B74" s="120" t="s">
        <v>146</v>
      </c>
      <c r="C74" s="52" t="s">
        <v>148</v>
      </c>
      <c r="D74" s="51" t="s">
        <v>149</v>
      </c>
      <c r="E74" s="73">
        <f t="shared" si="1"/>
        <v>26</v>
      </c>
      <c r="F74" s="3"/>
    </row>
    <row r="75" spans="1:6" x14ac:dyDescent="0.25">
      <c r="A75" s="75">
        <v>74</v>
      </c>
      <c r="B75" s="120" t="s">
        <v>146</v>
      </c>
      <c r="C75" s="52" t="s">
        <v>148</v>
      </c>
      <c r="D75" s="51" t="s">
        <v>149</v>
      </c>
      <c r="E75" s="73">
        <f t="shared" si="1"/>
        <v>26</v>
      </c>
      <c r="F75" s="3"/>
    </row>
    <row r="76" spans="1:6" x14ac:dyDescent="0.25">
      <c r="A76" s="75">
        <v>75</v>
      </c>
      <c r="B76" s="120" t="s">
        <v>146</v>
      </c>
      <c r="C76" s="52" t="s">
        <v>148</v>
      </c>
      <c r="D76" s="51" t="s">
        <v>149</v>
      </c>
      <c r="E76" s="73">
        <f t="shared" si="1"/>
        <v>26</v>
      </c>
      <c r="F76" s="3"/>
    </row>
    <row r="77" spans="1:6" x14ac:dyDescent="0.25">
      <c r="A77" s="75">
        <v>76</v>
      </c>
      <c r="B77" s="120" t="s">
        <v>146</v>
      </c>
      <c r="C77" s="52" t="s">
        <v>148</v>
      </c>
      <c r="D77" s="51" t="s">
        <v>149</v>
      </c>
      <c r="E77" s="73">
        <f t="shared" si="1"/>
        <v>26</v>
      </c>
      <c r="F77" s="3"/>
    </row>
    <row r="78" spans="1:6" x14ac:dyDescent="0.25">
      <c r="A78" s="75">
        <v>77</v>
      </c>
      <c r="B78" s="120" t="s">
        <v>146</v>
      </c>
      <c r="C78" s="52" t="s">
        <v>148</v>
      </c>
      <c r="D78" s="51" t="s">
        <v>149</v>
      </c>
      <c r="E78" s="73">
        <f t="shared" si="1"/>
        <v>26</v>
      </c>
      <c r="F78" s="3"/>
    </row>
    <row r="79" spans="1:6" x14ac:dyDescent="0.25">
      <c r="A79" s="75">
        <v>78</v>
      </c>
      <c r="B79" s="51" t="s">
        <v>61</v>
      </c>
      <c r="C79" s="52" t="s">
        <v>159</v>
      </c>
      <c r="D79" s="130" t="s">
        <v>62</v>
      </c>
      <c r="E79" s="73">
        <f t="shared" si="1"/>
        <v>35</v>
      </c>
      <c r="F79" s="3"/>
    </row>
    <row r="80" spans="1:6" x14ac:dyDescent="0.25">
      <c r="A80" s="75">
        <v>79</v>
      </c>
      <c r="B80" s="51" t="s">
        <v>60</v>
      </c>
      <c r="C80" s="52"/>
      <c r="D80" s="130"/>
      <c r="E80" s="73">
        <f t="shared" si="1"/>
        <v>12</v>
      </c>
      <c r="F80" s="3"/>
    </row>
    <row r="81" spans="1:6" x14ac:dyDescent="0.25">
      <c r="A81" s="75">
        <v>80</v>
      </c>
      <c r="B81" s="51" t="s">
        <v>68</v>
      </c>
      <c r="C81" s="52"/>
      <c r="D81" s="51"/>
      <c r="E81" s="73">
        <f t="shared" si="1"/>
        <v>56</v>
      </c>
      <c r="F81" s="3"/>
    </row>
    <row r="82" spans="1:6" x14ac:dyDescent="0.25">
      <c r="A82" s="75">
        <v>81</v>
      </c>
      <c r="B82" s="51" t="s">
        <v>69</v>
      </c>
      <c r="C82" s="129"/>
      <c r="D82" s="130"/>
      <c r="E82" s="73">
        <f t="shared" si="1"/>
        <v>47</v>
      </c>
      <c r="F82" s="3"/>
    </row>
    <row r="83" spans="1:6" x14ac:dyDescent="0.25">
      <c r="A83" s="75">
        <v>82</v>
      </c>
      <c r="B83" s="51" t="s">
        <v>70</v>
      </c>
      <c r="C83" s="52" t="s">
        <v>62</v>
      </c>
      <c r="D83" s="51" t="s">
        <v>149</v>
      </c>
      <c r="E83" s="73">
        <f t="shared" si="1"/>
        <v>19</v>
      </c>
      <c r="F83" s="3"/>
    </row>
    <row r="84" spans="1:6" x14ac:dyDescent="0.25">
      <c r="A84" s="75">
        <v>83</v>
      </c>
      <c r="B84" s="51" t="s">
        <v>63</v>
      </c>
      <c r="C84" s="52" t="s">
        <v>65</v>
      </c>
      <c r="D84" s="51" t="s">
        <v>62</v>
      </c>
      <c r="E84" s="73">
        <f t="shared" si="1"/>
        <v>31</v>
      </c>
      <c r="F84" s="3"/>
    </row>
    <row r="85" spans="1:6" x14ac:dyDescent="0.25">
      <c r="A85" s="75">
        <v>84</v>
      </c>
      <c r="B85" s="51" t="s">
        <v>71</v>
      </c>
      <c r="C85" s="52"/>
      <c r="D85" s="51"/>
      <c r="E85" s="73">
        <f t="shared" si="1"/>
        <v>48</v>
      </c>
      <c r="F85" s="3"/>
    </row>
    <row r="86" spans="1:6" x14ac:dyDescent="0.25">
      <c r="A86" s="75">
        <v>85</v>
      </c>
      <c r="B86" s="51" t="s">
        <v>72</v>
      </c>
      <c r="C86" s="52" t="s">
        <v>160</v>
      </c>
      <c r="D86" s="51" t="s">
        <v>62</v>
      </c>
      <c r="E86" s="73">
        <f t="shared" si="1"/>
        <v>57</v>
      </c>
      <c r="F86" s="3"/>
    </row>
    <row r="87" spans="1:6" x14ac:dyDescent="0.25">
      <c r="A87" s="75">
        <v>86</v>
      </c>
      <c r="B87" s="51" t="s">
        <v>73</v>
      </c>
      <c r="C87" s="52"/>
      <c r="D87" s="51"/>
      <c r="E87" s="73">
        <f t="shared" si="1"/>
        <v>58</v>
      </c>
      <c r="F87" s="3"/>
    </row>
    <row r="88" spans="1:6" x14ac:dyDescent="0.25">
      <c r="A88" s="75">
        <v>87</v>
      </c>
      <c r="B88" s="51" t="s">
        <v>74</v>
      </c>
      <c r="C88" s="52"/>
      <c r="D88" s="51" t="s">
        <v>149</v>
      </c>
      <c r="E88" s="73">
        <f t="shared" si="1"/>
        <v>21</v>
      </c>
      <c r="F88" s="3"/>
    </row>
    <row r="89" spans="1:6" x14ac:dyDescent="0.25">
      <c r="A89" s="75">
        <v>88</v>
      </c>
      <c r="B89" s="51" t="s">
        <v>73</v>
      </c>
      <c r="C89" s="52"/>
      <c r="D89" s="51"/>
      <c r="E89" s="73">
        <f t="shared" si="1"/>
        <v>58</v>
      </c>
      <c r="F89" s="3"/>
    </row>
    <row r="90" spans="1:6" x14ac:dyDescent="0.25">
      <c r="A90" s="75">
        <v>89</v>
      </c>
      <c r="B90" s="51" t="s">
        <v>74</v>
      </c>
      <c r="C90" s="52"/>
      <c r="D90" s="51" t="s">
        <v>149</v>
      </c>
      <c r="E90" s="73">
        <f t="shared" si="1"/>
        <v>21</v>
      </c>
      <c r="F90" s="3"/>
    </row>
    <row r="91" spans="1:6" x14ac:dyDescent="0.25">
      <c r="A91" s="75">
        <v>90</v>
      </c>
      <c r="B91" s="51" t="s">
        <v>75</v>
      </c>
      <c r="C91" s="52"/>
      <c r="D91" s="51"/>
      <c r="E91" s="73">
        <f t="shared" si="1"/>
        <v>34</v>
      </c>
      <c r="F91" s="3"/>
    </row>
    <row r="92" spans="1:6" x14ac:dyDescent="0.25">
      <c r="A92" s="75">
        <v>91</v>
      </c>
      <c r="B92" s="51" t="s">
        <v>60</v>
      </c>
      <c r="C92" s="52"/>
      <c r="D92" s="51"/>
      <c r="E92" s="73">
        <f t="shared" si="1"/>
        <v>12</v>
      </c>
      <c r="F92" s="3"/>
    </row>
    <row r="93" spans="1:6" x14ac:dyDescent="0.25">
      <c r="A93" s="75">
        <v>92</v>
      </c>
      <c r="B93" s="51" t="s">
        <v>66</v>
      </c>
      <c r="C93" s="52" t="s">
        <v>148</v>
      </c>
      <c r="D93" s="51" t="s">
        <v>149</v>
      </c>
      <c r="E93" s="73">
        <f t="shared" si="1"/>
        <v>32</v>
      </c>
      <c r="F93" s="3"/>
    </row>
    <row r="94" spans="1:6" x14ac:dyDescent="0.25">
      <c r="A94" s="75">
        <v>93</v>
      </c>
      <c r="B94" s="51"/>
      <c r="C94" s="52"/>
      <c r="D94" s="51"/>
      <c r="E94" s="73">
        <f t="shared" si="1"/>
        <v>0</v>
      </c>
      <c r="F94" s="3"/>
    </row>
    <row r="95" spans="1:6" x14ac:dyDescent="0.25">
      <c r="A95" s="75">
        <v>94</v>
      </c>
      <c r="B95" s="51"/>
      <c r="C95" s="135"/>
      <c r="D95" s="120"/>
      <c r="E95" s="73">
        <f t="shared" si="1"/>
        <v>0</v>
      </c>
      <c r="F95" s="3"/>
    </row>
    <row r="96" spans="1:6" x14ac:dyDescent="0.25">
      <c r="A96" s="75">
        <v>95</v>
      </c>
      <c r="B96" s="51"/>
      <c r="C96" s="135"/>
      <c r="D96" s="120"/>
      <c r="E96" s="73">
        <f t="shared" si="1"/>
        <v>0</v>
      </c>
      <c r="F96" s="3"/>
    </row>
    <row r="97" spans="1:6" x14ac:dyDescent="0.25">
      <c r="A97" s="75">
        <v>96</v>
      </c>
      <c r="B97" s="51"/>
      <c r="C97" s="135"/>
      <c r="D97" s="120"/>
      <c r="E97" s="73">
        <f t="shared" si="1"/>
        <v>0</v>
      </c>
      <c r="F97" s="3"/>
    </row>
    <row r="98" spans="1:6" x14ac:dyDescent="0.25">
      <c r="A98" s="75">
        <v>97</v>
      </c>
      <c r="B98" s="51"/>
      <c r="C98" s="135"/>
      <c r="D98" s="120"/>
      <c r="E98" s="73">
        <f t="shared" si="1"/>
        <v>0</v>
      </c>
      <c r="F98" s="3"/>
    </row>
    <row r="99" spans="1:6" x14ac:dyDescent="0.25">
      <c r="A99" s="75">
        <v>98</v>
      </c>
      <c r="B99" s="51"/>
      <c r="C99" s="135"/>
      <c r="D99" s="120"/>
      <c r="E99" s="73">
        <f t="shared" si="1"/>
        <v>0</v>
      </c>
      <c r="F99" s="3"/>
    </row>
    <row r="100" spans="1:6" x14ac:dyDescent="0.25">
      <c r="A100" s="75">
        <v>99</v>
      </c>
      <c r="B100" s="51"/>
      <c r="C100" s="135"/>
      <c r="D100" s="120"/>
      <c r="E100" s="73">
        <f t="shared" si="1"/>
        <v>0</v>
      </c>
      <c r="F100" s="3"/>
    </row>
    <row r="101" spans="1:6" x14ac:dyDescent="0.25">
      <c r="A101" s="75">
        <v>100</v>
      </c>
      <c r="B101" s="51"/>
      <c r="C101" s="135"/>
      <c r="D101" s="120"/>
      <c r="E101" s="73">
        <f t="shared" si="1"/>
        <v>0</v>
      </c>
      <c r="F101" s="3"/>
    </row>
    <row r="102" spans="1:6" x14ac:dyDescent="0.25">
      <c r="A102" s="75">
        <v>101</v>
      </c>
      <c r="B102" s="51"/>
      <c r="C102" s="135"/>
      <c r="D102" s="120"/>
      <c r="E102" s="73">
        <f t="shared" si="1"/>
        <v>0</v>
      </c>
      <c r="F102" s="3"/>
    </row>
    <row r="103" spans="1:6" x14ac:dyDescent="0.25">
      <c r="A103" s="75">
        <v>102</v>
      </c>
      <c r="B103" s="51"/>
      <c r="C103" s="135"/>
      <c r="D103" s="120"/>
      <c r="E103" s="73">
        <f t="shared" si="1"/>
        <v>0</v>
      </c>
      <c r="F103" s="3"/>
    </row>
    <row r="104" spans="1:6" x14ac:dyDescent="0.25">
      <c r="A104" s="75">
        <v>103</v>
      </c>
      <c r="B104" s="51"/>
      <c r="C104" s="135"/>
      <c r="D104" s="120"/>
      <c r="E104" s="73">
        <f t="shared" si="1"/>
        <v>0</v>
      </c>
      <c r="F104" s="3"/>
    </row>
    <row r="105" spans="1:6" x14ac:dyDescent="0.25">
      <c r="A105" s="75">
        <v>104</v>
      </c>
      <c r="B105" s="51"/>
      <c r="C105" s="135"/>
      <c r="D105" s="120"/>
      <c r="E105" s="73">
        <f t="shared" si="1"/>
        <v>0</v>
      </c>
      <c r="F105" s="3"/>
    </row>
    <row r="106" spans="1:6" x14ac:dyDescent="0.25">
      <c r="A106" s="75">
        <v>105</v>
      </c>
      <c r="B106" s="51"/>
      <c r="C106" s="135"/>
      <c r="D106" s="120"/>
      <c r="E106" s="73">
        <f t="shared" si="1"/>
        <v>0</v>
      </c>
      <c r="F106" s="3"/>
    </row>
    <row r="107" spans="1:6" x14ac:dyDescent="0.25">
      <c r="A107" s="75">
        <v>106</v>
      </c>
      <c r="B107" s="51"/>
      <c r="C107" s="135"/>
      <c r="D107" s="120"/>
      <c r="E107" s="73">
        <f t="shared" si="1"/>
        <v>0</v>
      </c>
      <c r="F107" s="3"/>
    </row>
    <row r="108" spans="1:6" x14ac:dyDescent="0.25">
      <c r="A108" s="75">
        <v>107</v>
      </c>
      <c r="B108" s="51"/>
      <c r="C108" s="135"/>
      <c r="D108" s="120"/>
      <c r="E108" s="73">
        <f t="shared" si="1"/>
        <v>0</v>
      </c>
      <c r="F108" s="3"/>
    </row>
    <row r="109" spans="1:6" x14ac:dyDescent="0.25">
      <c r="A109" s="75">
        <v>108</v>
      </c>
      <c r="B109" s="51"/>
      <c r="C109" s="135"/>
      <c r="D109" s="120"/>
      <c r="E109" s="73">
        <f t="shared" si="1"/>
        <v>0</v>
      </c>
      <c r="F109" s="3"/>
    </row>
    <row r="110" spans="1:6" x14ac:dyDescent="0.25">
      <c r="A110" s="75">
        <v>109</v>
      </c>
      <c r="B110" s="51"/>
      <c r="C110" s="135"/>
      <c r="D110" s="120"/>
      <c r="E110" s="73">
        <f t="shared" si="1"/>
        <v>0</v>
      </c>
      <c r="F110" s="3"/>
    </row>
    <row r="111" spans="1:6" x14ac:dyDescent="0.25">
      <c r="A111" s="75">
        <v>110</v>
      </c>
      <c r="B111" s="51"/>
      <c r="C111" s="135"/>
      <c r="D111" s="120"/>
      <c r="E111" s="73">
        <f t="shared" si="1"/>
        <v>0</v>
      </c>
      <c r="F111" s="3"/>
    </row>
    <row r="112" spans="1:6" x14ac:dyDescent="0.25">
      <c r="A112" s="75">
        <v>111</v>
      </c>
      <c r="B112" s="51"/>
      <c r="C112" s="135"/>
      <c r="D112" s="120"/>
      <c r="E112" s="73">
        <f t="shared" si="1"/>
        <v>0</v>
      </c>
      <c r="F112" s="3"/>
    </row>
    <row r="113" spans="1:6" x14ac:dyDescent="0.25">
      <c r="A113" s="75">
        <v>112</v>
      </c>
      <c r="B113" s="51"/>
      <c r="C113" s="135"/>
      <c r="D113" s="120"/>
      <c r="E113" s="73">
        <f t="shared" si="1"/>
        <v>0</v>
      </c>
      <c r="F113" s="3"/>
    </row>
    <row r="114" spans="1:6" x14ac:dyDescent="0.25">
      <c r="A114" s="75">
        <v>113</v>
      </c>
      <c r="B114" s="51"/>
      <c r="C114" s="135"/>
      <c r="D114" s="120"/>
      <c r="E114" s="73">
        <f t="shared" si="1"/>
        <v>0</v>
      </c>
      <c r="F114" s="3"/>
    </row>
    <row r="115" spans="1:6" x14ac:dyDescent="0.25">
      <c r="A115" s="75">
        <v>114</v>
      </c>
      <c r="B115" s="51"/>
      <c r="C115" s="135"/>
      <c r="D115" s="120"/>
      <c r="E115" s="73">
        <f t="shared" si="1"/>
        <v>0</v>
      </c>
      <c r="F115" s="3"/>
    </row>
    <row r="116" spans="1:6" x14ac:dyDescent="0.25">
      <c r="A116" s="75">
        <v>115</v>
      </c>
      <c r="B116" s="51"/>
      <c r="C116" s="135"/>
      <c r="D116" s="120"/>
      <c r="E116" s="73">
        <f t="shared" si="1"/>
        <v>0</v>
      </c>
      <c r="F116" s="3"/>
    </row>
    <row r="117" spans="1:6" x14ac:dyDescent="0.25">
      <c r="A117" s="75">
        <v>116</v>
      </c>
      <c r="B117" s="51"/>
      <c r="C117" s="135"/>
      <c r="D117" s="120"/>
      <c r="E117" s="73">
        <f t="shared" si="1"/>
        <v>0</v>
      </c>
      <c r="F117" s="3"/>
    </row>
    <row r="118" spans="1:6" x14ac:dyDescent="0.25">
      <c r="A118" s="75">
        <v>117</v>
      </c>
      <c r="B118" s="51"/>
      <c r="C118" s="135"/>
      <c r="D118" s="120"/>
      <c r="E118" s="73">
        <f t="shared" si="1"/>
        <v>0</v>
      </c>
      <c r="F118" s="3"/>
    </row>
    <row r="119" spans="1:6" x14ac:dyDescent="0.25">
      <c r="A119" s="75">
        <v>118</v>
      </c>
      <c r="B119" s="51"/>
      <c r="C119" s="135"/>
      <c r="D119" s="120"/>
      <c r="E119" s="73">
        <f t="shared" si="1"/>
        <v>0</v>
      </c>
      <c r="F119" s="3"/>
    </row>
    <row r="120" spans="1:6" x14ac:dyDescent="0.25">
      <c r="A120" s="75">
        <v>119</v>
      </c>
      <c r="B120" s="51"/>
      <c r="C120" s="135"/>
      <c r="D120" s="120"/>
      <c r="E120" s="73">
        <f t="shared" si="1"/>
        <v>0</v>
      </c>
      <c r="F120" s="3"/>
    </row>
    <row r="121" spans="1:6" x14ac:dyDescent="0.25">
      <c r="A121" s="75">
        <v>120</v>
      </c>
      <c r="B121" s="51"/>
      <c r="C121" s="135"/>
      <c r="D121" s="120"/>
      <c r="E121" s="73">
        <f t="shared" si="1"/>
        <v>0</v>
      </c>
      <c r="F121" s="3"/>
    </row>
    <row r="122" spans="1:6" x14ac:dyDescent="0.25">
      <c r="A122" s="75">
        <v>121</v>
      </c>
      <c r="B122" s="51"/>
      <c r="C122" s="135"/>
      <c r="D122" s="120"/>
      <c r="E122" s="73">
        <f t="shared" si="1"/>
        <v>0</v>
      </c>
      <c r="F122" s="3"/>
    </row>
    <row r="123" spans="1:6" x14ac:dyDescent="0.25">
      <c r="A123" s="75">
        <v>122</v>
      </c>
      <c r="B123" s="51"/>
      <c r="C123" s="135"/>
      <c r="D123" s="120"/>
      <c r="E123" s="73">
        <f t="shared" si="1"/>
        <v>0</v>
      </c>
      <c r="F123" s="3"/>
    </row>
    <row r="124" spans="1:6" x14ac:dyDescent="0.25">
      <c r="A124" s="75">
        <v>123</v>
      </c>
      <c r="B124" s="51"/>
      <c r="C124" s="135"/>
      <c r="D124" s="120"/>
      <c r="E124" s="73">
        <f t="shared" si="1"/>
        <v>0</v>
      </c>
      <c r="F124" s="3"/>
    </row>
    <row r="125" spans="1:6" x14ac:dyDescent="0.25">
      <c r="A125" s="75">
        <v>124</v>
      </c>
      <c r="B125" s="51"/>
      <c r="C125" s="135"/>
      <c r="D125" s="120"/>
      <c r="E125" s="73">
        <f t="shared" si="1"/>
        <v>0</v>
      </c>
      <c r="F125" s="3"/>
    </row>
    <row r="126" spans="1:6" x14ac:dyDescent="0.25">
      <c r="A126" s="75">
        <v>125</v>
      </c>
      <c r="B126" s="51"/>
      <c r="C126" s="135"/>
      <c r="D126" s="120"/>
      <c r="E126" s="73">
        <f t="shared" si="1"/>
        <v>0</v>
      </c>
      <c r="F126" s="3"/>
    </row>
    <row r="127" spans="1:6" x14ac:dyDescent="0.25">
      <c r="A127" s="75">
        <v>126</v>
      </c>
      <c r="B127" s="51"/>
      <c r="C127" s="135"/>
      <c r="D127" s="120"/>
      <c r="E127" s="73">
        <f t="shared" si="1"/>
        <v>0</v>
      </c>
      <c r="F127" s="3"/>
    </row>
    <row r="128" spans="1:6" x14ac:dyDescent="0.25">
      <c r="A128" s="75">
        <v>127</v>
      </c>
      <c r="B128" s="51"/>
      <c r="C128" s="135"/>
      <c r="D128" s="120"/>
      <c r="E128" s="73">
        <f t="shared" si="1"/>
        <v>0</v>
      </c>
      <c r="F128" s="3"/>
    </row>
    <row r="129" spans="1:6" x14ac:dyDescent="0.25">
      <c r="A129" s="75">
        <v>128</v>
      </c>
      <c r="B129" s="51"/>
      <c r="C129" s="135"/>
      <c r="D129" s="120"/>
      <c r="E129" s="73">
        <f t="shared" si="1"/>
        <v>0</v>
      </c>
      <c r="F129" s="3"/>
    </row>
    <row r="130" spans="1:6" x14ac:dyDescent="0.25">
      <c r="A130" s="75">
        <v>129</v>
      </c>
      <c r="B130" s="51"/>
      <c r="C130" s="135"/>
      <c r="D130" s="120"/>
      <c r="E130" s="73">
        <f t="shared" si="1"/>
        <v>0</v>
      </c>
      <c r="F130" s="3"/>
    </row>
    <row r="131" spans="1:6" x14ac:dyDescent="0.25">
      <c r="A131" s="75">
        <v>130</v>
      </c>
      <c r="B131" s="51"/>
      <c r="C131" s="135"/>
      <c r="D131" s="120"/>
      <c r="E131" s="73">
        <f>LEN(B131)</f>
        <v>0</v>
      </c>
      <c r="F131" s="3"/>
    </row>
    <row r="132" spans="1:6" x14ac:dyDescent="0.25">
      <c r="A132" s="75">
        <v>131</v>
      </c>
      <c r="B132" s="51"/>
      <c r="C132" s="135"/>
      <c r="D132" s="120"/>
      <c r="E132" s="73">
        <f>LEN(B132)</f>
        <v>0</v>
      </c>
      <c r="F132" s="3"/>
    </row>
    <row r="133" spans="1:6" x14ac:dyDescent="0.25">
      <c r="A133" s="75">
        <v>132</v>
      </c>
      <c r="B133" s="51"/>
      <c r="C133" s="135"/>
      <c r="D133" s="120"/>
      <c r="E133" s="73">
        <f>LEN(B133)</f>
        <v>0</v>
      </c>
      <c r="F133" s="3"/>
    </row>
    <row r="134" spans="1:6" x14ac:dyDescent="0.25">
      <c r="A134" s="49">
        <v>133</v>
      </c>
      <c r="B134" s="51"/>
      <c r="C134" s="135"/>
      <c r="D134" s="120"/>
      <c r="E134" s="50">
        <f>LEN(B134)</f>
        <v>0</v>
      </c>
      <c r="F134" s="21" t="s">
        <v>32</v>
      </c>
    </row>
    <row r="135" spans="1:6" x14ac:dyDescent="0.25">
      <c r="A135" s="3"/>
      <c r="B135" s="3"/>
      <c r="C135" s="3"/>
      <c r="D135" s="3"/>
      <c r="E135" s="54"/>
      <c r="F135" s="3"/>
    </row>
  </sheetData>
  <sheetProtection password="DBF4" sheet="1" objects="1" scenarios="1"/>
  <conditionalFormatting sqref="E2:E134">
    <cfRule type="cellIs" dxfId="6" priority="2" operator="greaterThan">
      <formula>75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tabColor rgb="FF00B050"/>
  </sheetPr>
  <dimension ref="A1:E44"/>
  <sheetViews>
    <sheetView topLeftCell="A11" zoomScale="90" zoomScaleNormal="90" workbookViewId="0">
      <selection activeCell="B52" sqref="B52"/>
    </sheetView>
  </sheetViews>
  <sheetFormatPr defaultRowHeight="15" x14ac:dyDescent="0.25"/>
  <cols>
    <col min="2" max="2" width="83.7109375" customWidth="1"/>
    <col min="3" max="3" width="22.140625" customWidth="1"/>
    <col min="4" max="4" width="17.85546875" style="87" customWidth="1"/>
    <col min="5" max="5" width="26.140625" customWidth="1"/>
  </cols>
  <sheetData>
    <row r="1" spans="1:5" ht="70.5" customHeight="1" x14ac:dyDescent="0.25">
      <c r="A1" s="83"/>
      <c r="B1" s="166" t="s">
        <v>76</v>
      </c>
      <c r="C1" s="167"/>
      <c r="D1" s="74" t="s">
        <v>81</v>
      </c>
      <c r="E1" s="86"/>
    </row>
    <row r="2" spans="1:5" hidden="1" x14ac:dyDescent="0.25">
      <c r="A2" s="82">
        <v>1</v>
      </c>
      <c r="B2" s="164"/>
      <c r="C2" s="165"/>
      <c r="D2" s="79">
        <f>LEN(B2)</f>
        <v>0</v>
      </c>
      <c r="E2" s="76"/>
    </row>
    <row r="3" spans="1:5" hidden="1" x14ac:dyDescent="0.25">
      <c r="A3" s="79">
        <v>2</v>
      </c>
      <c r="B3" s="164"/>
      <c r="C3" s="165"/>
      <c r="D3" s="79">
        <f t="shared" ref="D3:D41" si="0">LEN(B3)</f>
        <v>0</v>
      </c>
      <c r="E3" s="76"/>
    </row>
    <row r="4" spans="1:5" hidden="1" x14ac:dyDescent="0.25">
      <c r="A4" s="79">
        <v>3</v>
      </c>
      <c r="B4" s="80"/>
      <c r="C4" s="84"/>
      <c r="D4" s="79">
        <f t="shared" si="0"/>
        <v>0</v>
      </c>
      <c r="E4" s="76"/>
    </row>
    <row r="5" spans="1:5" x14ac:dyDescent="0.25">
      <c r="A5" s="79">
        <v>4</v>
      </c>
      <c r="B5" s="164"/>
      <c r="C5" s="165"/>
      <c r="D5" s="79">
        <f t="shared" si="0"/>
        <v>0</v>
      </c>
      <c r="E5" s="76"/>
    </row>
    <row r="6" spans="1:5" x14ac:dyDescent="0.25">
      <c r="A6" s="79">
        <v>5</v>
      </c>
      <c r="B6" s="164"/>
      <c r="C6" s="165"/>
      <c r="D6" s="79">
        <f t="shared" si="0"/>
        <v>0</v>
      </c>
      <c r="E6" s="76"/>
    </row>
    <row r="7" spans="1:5" x14ac:dyDescent="0.25">
      <c r="A7" s="79">
        <v>6</v>
      </c>
      <c r="B7" s="80"/>
      <c r="C7" s="84"/>
      <c r="D7" s="79">
        <f t="shared" si="0"/>
        <v>0</v>
      </c>
      <c r="E7" s="76"/>
    </row>
    <row r="8" spans="1:5" x14ac:dyDescent="0.25">
      <c r="A8" s="79">
        <v>7</v>
      </c>
      <c r="B8" s="80"/>
      <c r="C8" s="84"/>
      <c r="D8" s="79">
        <f t="shared" si="0"/>
        <v>0</v>
      </c>
      <c r="E8" s="76"/>
    </row>
    <row r="9" spans="1:5" x14ac:dyDescent="0.25">
      <c r="A9" s="79">
        <v>8</v>
      </c>
      <c r="B9" s="80"/>
      <c r="C9" s="84"/>
      <c r="D9" s="79">
        <f t="shared" si="0"/>
        <v>0</v>
      </c>
      <c r="E9" s="76"/>
    </row>
    <row r="10" spans="1:5" x14ac:dyDescent="0.25">
      <c r="A10" s="79">
        <v>9</v>
      </c>
      <c r="B10" s="80"/>
      <c r="C10" s="84"/>
      <c r="D10" s="79">
        <f t="shared" si="0"/>
        <v>0</v>
      </c>
      <c r="E10" s="76"/>
    </row>
    <row r="11" spans="1:5" x14ac:dyDescent="0.25">
      <c r="A11" s="79">
        <v>10</v>
      </c>
      <c r="B11" s="80"/>
      <c r="C11" s="84"/>
      <c r="D11" s="79">
        <f t="shared" si="0"/>
        <v>0</v>
      </c>
      <c r="E11" s="76"/>
    </row>
    <row r="12" spans="1:5" x14ac:dyDescent="0.25">
      <c r="A12" s="79">
        <v>11</v>
      </c>
      <c r="B12" s="80"/>
      <c r="C12" s="84"/>
      <c r="D12" s="79">
        <f t="shared" si="0"/>
        <v>0</v>
      </c>
      <c r="E12" s="76"/>
    </row>
    <row r="13" spans="1:5" x14ac:dyDescent="0.25">
      <c r="A13" s="79">
        <v>12</v>
      </c>
      <c r="B13" s="80"/>
      <c r="C13" s="84"/>
      <c r="D13" s="79">
        <f t="shared" si="0"/>
        <v>0</v>
      </c>
      <c r="E13" s="76"/>
    </row>
    <row r="14" spans="1:5" x14ac:dyDescent="0.25">
      <c r="A14" s="79">
        <v>13</v>
      </c>
      <c r="B14" s="80"/>
      <c r="C14" s="84"/>
      <c r="D14" s="79">
        <f t="shared" si="0"/>
        <v>0</v>
      </c>
      <c r="E14" s="76"/>
    </row>
    <row r="15" spans="1:5" x14ac:dyDescent="0.25">
      <c r="A15" s="79">
        <v>14</v>
      </c>
      <c r="B15" s="80"/>
      <c r="C15" s="84"/>
      <c r="D15" s="79">
        <f t="shared" si="0"/>
        <v>0</v>
      </c>
      <c r="E15" s="76"/>
    </row>
    <row r="16" spans="1:5" x14ac:dyDescent="0.25">
      <c r="A16" s="79">
        <v>15</v>
      </c>
      <c r="B16" s="80"/>
      <c r="C16" s="84"/>
      <c r="D16" s="79">
        <f t="shared" si="0"/>
        <v>0</v>
      </c>
      <c r="E16" s="76"/>
    </row>
    <row r="17" spans="1:5" x14ac:dyDescent="0.25">
      <c r="A17" s="79">
        <v>16</v>
      </c>
      <c r="B17" s="80"/>
      <c r="C17" s="84"/>
      <c r="D17" s="79">
        <f t="shared" si="0"/>
        <v>0</v>
      </c>
      <c r="E17" s="76"/>
    </row>
    <row r="18" spans="1:5" x14ac:dyDescent="0.25">
      <c r="A18" s="79">
        <v>17</v>
      </c>
      <c r="B18" s="80"/>
      <c r="C18" s="84"/>
      <c r="D18" s="79">
        <f t="shared" si="0"/>
        <v>0</v>
      </c>
      <c r="E18" s="76"/>
    </row>
    <row r="19" spans="1:5" x14ac:dyDescent="0.25">
      <c r="A19" s="79">
        <v>18</v>
      </c>
      <c r="B19" s="80"/>
      <c r="C19" s="84"/>
      <c r="D19" s="79">
        <f t="shared" si="0"/>
        <v>0</v>
      </c>
      <c r="E19" s="76"/>
    </row>
    <row r="20" spans="1:5" x14ac:dyDescent="0.25">
      <c r="A20" s="79">
        <v>19</v>
      </c>
      <c r="B20" s="80"/>
      <c r="C20" s="84"/>
      <c r="D20" s="79">
        <f t="shared" si="0"/>
        <v>0</v>
      </c>
      <c r="E20" s="76"/>
    </row>
    <row r="21" spans="1:5" x14ac:dyDescent="0.25">
      <c r="A21" s="79">
        <v>20</v>
      </c>
      <c r="B21" s="80"/>
      <c r="C21" s="84"/>
      <c r="D21" s="79">
        <f t="shared" si="0"/>
        <v>0</v>
      </c>
      <c r="E21" s="76"/>
    </row>
    <row r="22" spans="1:5" x14ac:dyDescent="0.25">
      <c r="A22" s="79">
        <v>21</v>
      </c>
      <c r="B22" s="80"/>
      <c r="C22" s="84"/>
      <c r="D22" s="79">
        <f t="shared" si="0"/>
        <v>0</v>
      </c>
      <c r="E22" s="76"/>
    </row>
    <row r="23" spans="1:5" x14ac:dyDescent="0.25">
      <c r="A23" s="79">
        <v>22</v>
      </c>
      <c r="B23" s="80"/>
      <c r="C23" s="84"/>
      <c r="D23" s="79">
        <f t="shared" si="0"/>
        <v>0</v>
      </c>
      <c r="E23" s="76"/>
    </row>
    <row r="24" spans="1:5" x14ac:dyDescent="0.25">
      <c r="A24" s="79">
        <v>23</v>
      </c>
      <c r="B24" s="80"/>
      <c r="C24" s="84"/>
      <c r="D24" s="79">
        <f t="shared" si="0"/>
        <v>0</v>
      </c>
      <c r="E24" s="76"/>
    </row>
    <row r="25" spans="1:5" x14ac:dyDescent="0.25">
      <c r="A25" s="79">
        <v>24</v>
      </c>
      <c r="B25" s="80"/>
      <c r="C25" s="84"/>
      <c r="D25" s="79">
        <f t="shared" si="0"/>
        <v>0</v>
      </c>
      <c r="E25" s="76"/>
    </row>
    <row r="26" spans="1:5" x14ac:dyDescent="0.25">
      <c r="A26" s="79">
        <v>25</v>
      </c>
      <c r="B26" s="80"/>
      <c r="C26" s="84"/>
      <c r="D26" s="79">
        <f t="shared" si="0"/>
        <v>0</v>
      </c>
      <c r="E26" s="76"/>
    </row>
    <row r="27" spans="1:5" x14ac:dyDescent="0.25">
      <c r="A27" s="79">
        <v>26</v>
      </c>
      <c r="B27" s="80"/>
      <c r="C27" s="84"/>
      <c r="D27" s="79">
        <f t="shared" si="0"/>
        <v>0</v>
      </c>
      <c r="E27" s="76"/>
    </row>
    <row r="28" spans="1:5" x14ac:dyDescent="0.25">
      <c r="A28" s="79">
        <v>27</v>
      </c>
      <c r="B28" s="80"/>
      <c r="C28" s="84"/>
      <c r="D28" s="79">
        <f t="shared" si="0"/>
        <v>0</v>
      </c>
      <c r="E28" s="76"/>
    </row>
    <row r="29" spans="1:5" x14ac:dyDescent="0.25">
      <c r="A29" s="79">
        <v>28</v>
      </c>
      <c r="B29" s="80"/>
      <c r="C29" s="84"/>
      <c r="D29" s="79">
        <f t="shared" si="0"/>
        <v>0</v>
      </c>
      <c r="E29" s="76"/>
    </row>
    <row r="30" spans="1:5" x14ac:dyDescent="0.25">
      <c r="A30" s="79">
        <v>29</v>
      </c>
      <c r="B30" s="80"/>
      <c r="C30" s="84"/>
      <c r="D30" s="79">
        <f t="shared" si="0"/>
        <v>0</v>
      </c>
      <c r="E30" s="76"/>
    </row>
    <row r="31" spans="1:5" x14ac:dyDescent="0.25">
      <c r="A31" s="79">
        <v>30</v>
      </c>
      <c r="B31" s="80"/>
      <c r="C31" s="84"/>
      <c r="D31" s="79">
        <f t="shared" si="0"/>
        <v>0</v>
      </c>
      <c r="E31" s="76"/>
    </row>
    <row r="32" spans="1:5" x14ac:dyDescent="0.25">
      <c r="A32" s="79">
        <v>31</v>
      </c>
      <c r="B32" s="80"/>
      <c r="C32" s="84"/>
      <c r="D32" s="79">
        <f t="shared" si="0"/>
        <v>0</v>
      </c>
      <c r="E32" s="76"/>
    </row>
    <row r="33" spans="1:5" x14ac:dyDescent="0.25">
      <c r="A33" s="79">
        <v>32</v>
      </c>
      <c r="B33" s="80"/>
      <c r="C33" s="84"/>
      <c r="D33" s="79">
        <f t="shared" si="0"/>
        <v>0</v>
      </c>
      <c r="E33" s="76"/>
    </row>
    <row r="34" spans="1:5" x14ac:dyDescent="0.25">
      <c r="A34" s="79">
        <v>33</v>
      </c>
      <c r="B34" s="80"/>
      <c r="C34" s="84"/>
      <c r="D34" s="79">
        <f t="shared" si="0"/>
        <v>0</v>
      </c>
      <c r="E34" s="76"/>
    </row>
    <row r="35" spans="1:5" x14ac:dyDescent="0.25">
      <c r="A35" s="79">
        <v>34</v>
      </c>
      <c r="B35" s="80"/>
      <c r="C35" s="84"/>
      <c r="D35" s="79">
        <f t="shared" si="0"/>
        <v>0</v>
      </c>
      <c r="E35" s="76"/>
    </row>
    <row r="36" spans="1:5" x14ac:dyDescent="0.25">
      <c r="A36" s="79">
        <v>35</v>
      </c>
      <c r="B36" s="80"/>
      <c r="C36" s="84"/>
      <c r="D36" s="79">
        <f t="shared" si="0"/>
        <v>0</v>
      </c>
      <c r="E36" s="76"/>
    </row>
    <row r="37" spans="1:5" x14ac:dyDescent="0.25">
      <c r="A37" s="79">
        <v>36</v>
      </c>
      <c r="B37" s="80"/>
      <c r="C37" s="84"/>
      <c r="D37" s="79">
        <f t="shared" si="0"/>
        <v>0</v>
      </c>
      <c r="E37" s="76"/>
    </row>
    <row r="38" spans="1:5" x14ac:dyDescent="0.25">
      <c r="A38" s="79">
        <v>37</v>
      </c>
      <c r="B38" s="80"/>
      <c r="C38" s="84"/>
      <c r="D38" s="79">
        <f t="shared" si="0"/>
        <v>0</v>
      </c>
      <c r="E38" s="76"/>
    </row>
    <row r="39" spans="1:5" x14ac:dyDescent="0.25">
      <c r="A39" s="79">
        <v>38</v>
      </c>
      <c r="B39" s="80"/>
      <c r="C39" s="84"/>
      <c r="D39" s="79">
        <f t="shared" si="0"/>
        <v>0</v>
      </c>
      <c r="E39" s="76"/>
    </row>
    <row r="40" spans="1:5" x14ac:dyDescent="0.25">
      <c r="A40" s="79">
        <v>39</v>
      </c>
      <c r="B40" s="80"/>
      <c r="C40" s="84"/>
      <c r="D40" s="79">
        <f t="shared" si="0"/>
        <v>0</v>
      </c>
      <c r="E40" s="76"/>
    </row>
    <row r="41" spans="1:5" x14ac:dyDescent="0.25">
      <c r="A41" s="79">
        <v>40</v>
      </c>
      <c r="B41" s="81"/>
      <c r="C41" s="85"/>
      <c r="D41" s="79">
        <f t="shared" si="0"/>
        <v>0</v>
      </c>
      <c r="E41" s="21" t="s">
        <v>36</v>
      </c>
    </row>
    <row r="42" spans="1:5" x14ac:dyDescent="0.25">
      <c r="A42" s="76"/>
      <c r="B42" s="77"/>
      <c r="C42" s="76"/>
      <c r="D42" s="79"/>
      <c r="E42" s="76"/>
    </row>
    <row r="43" spans="1:5" x14ac:dyDescent="0.25">
      <c r="B43" s="25"/>
    </row>
    <row r="44" spans="1:5" x14ac:dyDescent="0.25">
      <c r="B44" s="25"/>
    </row>
  </sheetData>
  <mergeCells count="5">
    <mergeCell ref="B6:C6"/>
    <mergeCell ref="B2:C2"/>
    <mergeCell ref="B3:C3"/>
    <mergeCell ref="B1:C1"/>
    <mergeCell ref="B5:C5"/>
  </mergeCells>
  <conditionalFormatting sqref="D2">
    <cfRule type="cellIs" dxfId="5" priority="2" operator="greaterThan">
      <formula>95</formula>
    </cfRule>
  </conditionalFormatting>
  <conditionalFormatting sqref="D3:D41">
    <cfRule type="cellIs" dxfId="4" priority="1" operator="greaterThan">
      <formula>95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tabColor theme="6" tint="-0.249977111117893"/>
  </sheetPr>
  <dimension ref="A1:E14"/>
  <sheetViews>
    <sheetView zoomScale="115" zoomScaleNormal="115" workbookViewId="0">
      <selection activeCell="B3" sqref="B3"/>
    </sheetView>
  </sheetViews>
  <sheetFormatPr defaultRowHeight="15" x14ac:dyDescent="0.25"/>
  <cols>
    <col min="2" max="2" width="29.5703125" customWidth="1"/>
    <col min="3" max="3" width="136.7109375" customWidth="1"/>
    <col min="4" max="4" width="18" customWidth="1"/>
  </cols>
  <sheetData>
    <row r="1" spans="1:5" ht="109.5" customHeight="1" x14ac:dyDescent="0.25">
      <c r="A1" s="76"/>
      <c r="B1" s="78" t="s">
        <v>29</v>
      </c>
      <c r="C1" s="78" t="s">
        <v>28</v>
      </c>
      <c r="D1" s="88" t="s">
        <v>43</v>
      </c>
      <c r="E1" s="76"/>
    </row>
    <row r="2" spans="1:5" s="2" customFormat="1" x14ac:dyDescent="0.25">
      <c r="A2" s="98"/>
      <c r="B2" s="99"/>
      <c r="C2" s="102"/>
      <c r="D2" s="100"/>
      <c r="E2" s="94"/>
    </row>
    <row r="3" spans="1:5" x14ac:dyDescent="0.25">
      <c r="A3" s="95">
        <v>1</v>
      </c>
      <c r="B3" s="96" t="s">
        <v>44</v>
      </c>
      <c r="C3" s="97" t="s">
        <v>67</v>
      </c>
      <c r="D3" s="79">
        <f t="shared" ref="D3:D13" si="0">LEN(C3)</f>
        <v>74</v>
      </c>
      <c r="E3" s="76"/>
    </row>
    <row r="4" spans="1:5" x14ac:dyDescent="0.25">
      <c r="A4" s="95">
        <v>2</v>
      </c>
      <c r="B4" s="96" t="s">
        <v>37</v>
      </c>
      <c r="C4" s="97" t="s">
        <v>64</v>
      </c>
      <c r="D4" s="79">
        <f t="shared" si="0"/>
        <v>21</v>
      </c>
      <c r="E4" s="76"/>
    </row>
    <row r="5" spans="1:5" x14ac:dyDescent="0.25">
      <c r="A5" s="95">
        <v>3</v>
      </c>
      <c r="B5" s="96" t="s">
        <v>38</v>
      </c>
      <c r="C5" s="97"/>
      <c r="D5" s="79">
        <f t="shared" si="0"/>
        <v>0</v>
      </c>
      <c r="E5" s="76"/>
    </row>
    <row r="6" spans="1:5" x14ac:dyDescent="0.25">
      <c r="A6" s="95">
        <v>4</v>
      </c>
      <c r="B6" s="96" t="s">
        <v>39</v>
      </c>
      <c r="C6" s="97"/>
      <c r="D6" s="79">
        <f t="shared" si="0"/>
        <v>0</v>
      </c>
      <c r="E6" s="76"/>
    </row>
    <row r="7" spans="1:5" x14ac:dyDescent="0.25">
      <c r="A7" s="95">
        <v>5</v>
      </c>
      <c r="B7" s="96" t="s">
        <v>40</v>
      </c>
      <c r="C7" s="97"/>
      <c r="D7" s="79">
        <f t="shared" si="0"/>
        <v>0</v>
      </c>
      <c r="E7" s="76"/>
    </row>
    <row r="8" spans="1:5" x14ac:dyDescent="0.25">
      <c r="A8" s="95">
        <v>6</v>
      </c>
      <c r="B8" s="96" t="s">
        <v>41</v>
      </c>
      <c r="C8" s="97"/>
      <c r="D8" s="79">
        <f t="shared" si="0"/>
        <v>0</v>
      </c>
      <c r="E8" s="76"/>
    </row>
    <row r="9" spans="1:5" ht="16.5" customHeight="1" x14ac:dyDescent="0.25">
      <c r="A9" s="95">
        <v>7</v>
      </c>
      <c r="B9" s="96" t="s">
        <v>42</v>
      </c>
      <c r="C9" s="97"/>
      <c r="D9" s="79">
        <f t="shared" si="0"/>
        <v>0</v>
      </c>
      <c r="E9" s="76"/>
    </row>
    <row r="10" spans="1:5" x14ac:dyDescent="0.25">
      <c r="A10" s="76"/>
      <c r="B10" s="96" t="s">
        <v>46</v>
      </c>
      <c r="C10" s="97"/>
      <c r="D10" s="79">
        <f t="shared" si="0"/>
        <v>0</v>
      </c>
      <c r="E10" s="76"/>
    </row>
    <row r="11" spans="1:5" x14ac:dyDescent="0.25">
      <c r="B11" s="96" t="s">
        <v>49</v>
      </c>
      <c r="C11" s="97"/>
      <c r="D11" s="79">
        <f t="shared" si="0"/>
        <v>0</v>
      </c>
      <c r="E11" s="76"/>
    </row>
    <row r="12" spans="1:5" x14ac:dyDescent="0.25">
      <c r="B12" s="96" t="s">
        <v>50</v>
      </c>
      <c r="C12" s="97"/>
      <c r="D12" s="79">
        <f t="shared" si="0"/>
        <v>0</v>
      </c>
      <c r="E12" s="76"/>
    </row>
    <row r="13" spans="1:5" x14ac:dyDescent="0.25">
      <c r="B13" s="96" t="s">
        <v>51</v>
      </c>
      <c r="C13" s="97"/>
      <c r="D13" s="79">
        <f t="shared" si="0"/>
        <v>0</v>
      </c>
      <c r="E13" s="76"/>
    </row>
    <row r="14" spans="1:5" x14ac:dyDescent="0.25">
      <c r="B14" s="99"/>
      <c r="C14" s="102"/>
      <c r="D14" s="100"/>
      <c r="E14" s="94"/>
    </row>
  </sheetData>
  <sheetProtection password="DBF4" sheet="1" objects="1" scenarios="1"/>
  <conditionalFormatting sqref="D2">
    <cfRule type="cellIs" dxfId="3" priority="8" operator="greaterThan">
      <formula>118</formula>
    </cfRule>
  </conditionalFormatting>
  <conditionalFormatting sqref="D3:D10">
    <cfRule type="cellIs" dxfId="2" priority="3" operator="greaterThan">
      <formula>121</formula>
    </cfRule>
  </conditionalFormatting>
  <conditionalFormatting sqref="D11:D13">
    <cfRule type="cellIs" dxfId="1" priority="2" operator="greaterThan">
      <formula>121</formula>
    </cfRule>
  </conditionalFormatting>
  <conditionalFormatting sqref="D14">
    <cfRule type="cellIs" dxfId="0" priority="1" operator="greaterThan">
      <formula>118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F167"/>
  <sheetViews>
    <sheetView view="pageBreakPreview" topLeftCell="A7" zoomScale="70" zoomScaleNormal="70" zoomScaleSheetLayoutView="70" workbookViewId="0">
      <selection activeCell="BE120" sqref="BE120:BT125"/>
    </sheetView>
  </sheetViews>
  <sheetFormatPr defaultRowHeight="15" x14ac:dyDescent="0.25"/>
  <cols>
    <col min="1" max="30" width="1.85546875" style="126" customWidth="1"/>
    <col min="31" max="36" width="1.85546875" style="127" customWidth="1"/>
    <col min="37" max="54" width="1.85546875" style="126" customWidth="1"/>
    <col min="55" max="55" width="1" style="126" customWidth="1"/>
    <col min="56" max="70" width="1.85546875" style="126" customWidth="1"/>
    <col min="71" max="71" width="1.85546875" style="127" customWidth="1"/>
    <col min="72" max="72" width="1.85546875" style="126" customWidth="1"/>
    <col min="73" max="73" width="2.28515625" style="126" customWidth="1"/>
    <col min="74" max="74" width="1.140625" style="126" customWidth="1"/>
    <col min="75" max="109" width="1.85546875" style="126" customWidth="1"/>
    <col min="110" max="110" width="2.28515625" style="126" customWidth="1"/>
    <col min="111" max="16384" width="9.140625" style="126"/>
  </cols>
  <sheetData>
    <row r="1" spans="1:110" ht="5.0999999999999996" customHeight="1" x14ac:dyDescent="0.2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121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125"/>
      <c r="DF1" s="29"/>
    </row>
    <row r="2" spans="1:110" ht="5.0999999999999996" customHeigh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121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125"/>
      <c r="DF2" s="29"/>
    </row>
    <row r="3" spans="1:110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121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125"/>
      <c r="DF3" s="29"/>
    </row>
    <row r="4" spans="1:110" ht="5.0999999999999996" customHeight="1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121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125"/>
      <c r="DF4" s="29"/>
    </row>
    <row r="5" spans="1:110" ht="5.0999999999999996" customHeight="1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121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125"/>
      <c r="DF5" s="29"/>
    </row>
    <row r="6" spans="1:110" ht="5.0999999999999996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121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125"/>
      <c r="DF6" s="29"/>
    </row>
    <row r="7" spans="1:110" ht="5.0999999999999996" customHeight="1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121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125"/>
      <c r="DF7" s="29"/>
    </row>
    <row r="8" spans="1:110" ht="5.0999999999999996" customHeight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121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125"/>
      <c r="DF8" s="29"/>
    </row>
    <row r="9" spans="1:110" ht="5.0999999999999996" customHeight="1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121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125"/>
      <c r="DF9" s="29"/>
    </row>
    <row r="10" spans="1:110" ht="5.0999999999999996" customHeight="1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121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125"/>
      <c r="DF10" s="29"/>
    </row>
    <row r="11" spans="1:110" ht="5.0999999999999996" customHeight="1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121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125"/>
      <c r="DF11" s="29"/>
    </row>
    <row r="12" spans="1:110" ht="5.0999999999999996" customHeight="1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121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125"/>
      <c r="DF12" s="29"/>
    </row>
    <row r="13" spans="1:110" ht="5.0999999999999996" customHeight="1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121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125"/>
      <c r="DF13" s="29"/>
    </row>
    <row r="14" spans="1:110" ht="5.0999999999999996" customHeight="1" x14ac:dyDescent="0.3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121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2"/>
      <c r="DB14" s="32"/>
      <c r="DC14" s="32"/>
      <c r="DD14" s="30"/>
      <c r="DE14" s="125"/>
      <c r="DF14" s="29"/>
    </row>
    <row r="15" spans="1:110" ht="5.0999999999999996" customHeight="1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121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32"/>
      <c r="DB15" s="32"/>
      <c r="DC15" s="32"/>
      <c r="DD15" s="30"/>
      <c r="DE15" s="125"/>
      <c r="DF15" s="29"/>
    </row>
    <row r="16" spans="1:110" ht="5.0999999999999996" customHeight="1" x14ac:dyDescent="0.3">
      <c r="A16" s="30"/>
      <c r="B16" s="30"/>
      <c r="C16" s="168" t="str">
        <f>IF(LEN(TRIM('4 доп.сведения'!B2))=0," ",'4 доп.сведения'!B2)</f>
        <v xml:space="preserve"> </v>
      </c>
      <c r="D16" s="168"/>
      <c r="E16" s="168"/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K16" s="168"/>
      <c r="AL16" s="168"/>
      <c r="AM16" s="168"/>
      <c r="AN16" s="168"/>
      <c r="AO16" s="168"/>
      <c r="AP16" s="168"/>
      <c r="AQ16" s="168"/>
      <c r="AR16" s="168"/>
      <c r="AS16" s="168"/>
      <c r="AT16" s="168"/>
      <c r="AU16" s="168"/>
      <c r="AV16" s="168"/>
      <c r="AW16" s="168"/>
      <c r="AX16" s="168"/>
      <c r="AY16" s="168"/>
      <c r="AZ16" s="168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33"/>
      <c r="DB16" s="33"/>
      <c r="DC16" s="33"/>
      <c r="DD16" s="30"/>
      <c r="DE16" s="125"/>
      <c r="DF16" s="29"/>
    </row>
    <row r="17" spans="1:110" ht="5.0999999999999996" customHeight="1" x14ac:dyDescent="0.25">
      <c r="A17" s="30"/>
      <c r="B17" s="30"/>
      <c r="C17" s="168"/>
      <c r="D17" s="168"/>
      <c r="E17" s="168"/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  <c r="AA17" s="168"/>
      <c r="AB17" s="168"/>
      <c r="AC17" s="168"/>
      <c r="AD17" s="168"/>
      <c r="AE17" s="168"/>
      <c r="AF17" s="168"/>
      <c r="AG17" s="168"/>
      <c r="AH17" s="168"/>
      <c r="AI17" s="168"/>
      <c r="AJ17" s="168"/>
      <c r="AK17" s="168"/>
      <c r="AL17" s="168"/>
      <c r="AM17" s="168"/>
      <c r="AN17" s="168"/>
      <c r="AO17" s="168"/>
      <c r="AP17" s="168"/>
      <c r="AQ17" s="168"/>
      <c r="AR17" s="168"/>
      <c r="AS17" s="168"/>
      <c r="AT17" s="168"/>
      <c r="AU17" s="168"/>
      <c r="AV17" s="168"/>
      <c r="AW17" s="168"/>
      <c r="AX17" s="168"/>
      <c r="AY17" s="168"/>
      <c r="AZ17" s="168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0"/>
      <c r="DE17" s="125"/>
      <c r="DF17" s="29"/>
    </row>
    <row r="18" spans="1:110" ht="5.0999999999999996" customHeight="1" x14ac:dyDescent="0.3">
      <c r="A18" s="30"/>
      <c r="B18" s="30"/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K18" s="168"/>
      <c r="AL18" s="168"/>
      <c r="AM18" s="168"/>
      <c r="AN18" s="168"/>
      <c r="AO18" s="168"/>
      <c r="AP18" s="168"/>
      <c r="AQ18" s="168"/>
      <c r="AR18" s="168"/>
      <c r="AS18" s="168"/>
      <c r="AT18" s="168"/>
      <c r="AU18" s="168"/>
      <c r="AV18" s="168"/>
      <c r="AW18" s="168"/>
      <c r="AX18" s="168"/>
      <c r="AY18" s="168"/>
      <c r="AZ18" s="168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32"/>
      <c r="DB18" s="32"/>
      <c r="DC18" s="32"/>
      <c r="DD18" s="30"/>
      <c r="DE18" s="125"/>
      <c r="DF18" s="29"/>
    </row>
    <row r="19" spans="1:110" ht="5.0999999999999996" customHeight="1" x14ac:dyDescent="0.3">
      <c r="A19" s="30"/>
      <c r="B19" s="170" t="str">
        <f>IF(LEN(TRIM('4 доп.сведения'!B5))=0," ",'4 доп.сведения'!B5)</f>
        <v xml:space="preserve"> </v>
      </c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32"/>
      <c r="DB19" s="32"/>
      <c r="DC19" s="32"/>
      <c r="DD19" s="30"/>
      <c r="DE19" s="125"/>
      <c r="DF19" s="29"/>
    </row>
    <row r="20" spans="1:110" ht="5.0999999999999996" customHeight="1" x14ac:dyDescent="0.3">
      <c r="A20" s="34"/>
      <c r="B20" s="170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  <c r="AA20" s="170"/>
      <c r="AB20" s="170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0"/>
      <c r="AO20" s="170"/>
      <c r="AP20" s="170"/>
      <c r="AQ20" s="170"/>
      <c r="AR20" s="170"/>
      <c r="AS20" s="170"/>
      <c r="AT20" s="170"/>
      <c r="AU20" s="170"/>
      <c r="AV20" s="170"/>
      <c r="AW20" s="170"/>
      <c r="AX20" s="170"/>
      <c r="AY20" s="170"/>
      <c r="AZ20" s="17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32"/>
      <c r="DB20" s="32"/>
      <c r="DC20" s="32"/>
      <c r="DD20" s="30"/>
      <c r="DE20" s="125"/>
      <c r="DF20" s="29"/>
    </row>
    <row r="21" spans="1:110" ht="5.0999999999999996" customHeight="1" x14ac:dyDescent="0.3">
      <c r="A21" s="34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  <c r="AF21" s="170"/>
      <c r="AG21" s="170"/>
      <c r="AH21" s="170"/>
      <c r="AI21" s="170"/>
      <c r="AJ21" s="170"/>
      <c r="AK21" s="170"/>
      <c r="AL21" s="170"/>
      <c r="AM21" s="170"/>
      <c r="AN21" s="170"/>
      <c r="AO21" s="170"/>
      <c r="AP21" s="170"/>
      <c r="AQ21" s="170"/>
      <c r="AR21" s="170"/>
      <c r="AS21" s="170"/>
      <c r="AT21" s="170"/>
      <c r="AU21" s="170"/>
      <c r="AV21" s="170"/>
      <c r="AW21" s="170"/>
      <c r="AX21" s="170"/>
      <c r="AY21" s="170"/>
      <c r="AZ21" s="17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32"/>
      <c r="DB21" s="32"/>
      <c r="DC21" s="32"/>
      <c r="DD21" s="30"/>
      <c r="DE21" s="125"/>
      <c r="DF21" s="29"/>
    </row>
    <row r="22" spans="1:110" ht="5.0999999999999996" customHeight="1" x14ac:dyDescent="0.3">
      <c r="A22" s="34"/>
      <c r="B22" s="178">
        <f>'4 доп.сведения'!B6:C6</f>
        <v>0</v>
      </c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  <c r="AA22" s="170"/>
      <c r="AB22" s="170"/>
      <c r="AC22" s="170"/>
      <c r="AD22" s="170"/>
      <c r="AE22" s="170"/>
      <c r="AF22" s="170"/>
      <c r="AG22" s="170"/>
      <c r="AH22" s="170"/>
      <c r="AI22" s="170"/>
      <c r="AJ22" s="170"/>
      <c r="AK22" s="170"/>
      <c r="AL22" s="170"/>
      <c r="AM22" s="170"/>
      <c r="AN22" s="170"/>
      <c r="AO22" s="170"/>
      <c r="AP22" s="170"/>
      <c r="AQ22" s="170"/>
      <c r="AR22" s="170"/>
      <c r="AS22" s="170"/>
      <c r="AT22" s="170"/>
      <c r="AU22" s="170"/>
      <c r="AV22" s="170"/>
      <c r="AW22" s="170"/>
      <c r="AX22" s="170"/>
      <c r="AY22" s="170"/>
      <c r="AZ22" s="17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32"/>
      <c r="DB22" s="32"/>
      <c r="DC22" s="32"/>
      <c r="DD22" s="30"/>
      <c r="DE22" s="125"/>
      <c r="DF22" s="29"/>
    </row>
    <row r="23" spans="1:110" ht="5.0999999999999996" customHeight="1" x14ac:dyDescent="0.3">
      <c r="A23" s="34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  <c r="AE23" s="170"/>
      <c r="AF23" s="170"/>
      <c r="AG23" s="170"/>
      <c r="AH23" s="170"/>
      <c r="AI23" s="170"/>
      <c r="AJ23" s="170"/>
      <c r="AK23" s="170"/>
      <c r="AL23" s="170"/>
      <c r="AM23" s="170"/>
      <c r="AN23" s="170"/>
      <c r="AO23" s="170"/>
      <c r="AP23" s="170"/>
      <c r="AQ23" s="170"/>
      <c r="AR23" s="170"/>
      <c r="AS23" s="170"/>
      <c r="AT23" s="170"/>
      <c r="AU23" s="170"/>
      <c r="AV23" s="170"/>
      <c r="AW23" s="170"/>
      <c r="AX23" s="170"/>
      <c r="AY23" s="170"/>
      <c r="AZ23" s="17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170" t="str">
        <f>'1 Обладатель диплома'!B3</f>
        <v>Фамилия</v>
      </c>
      <c r="CG23" s="170"/>
      <c r="CH23" s="170"/>
      <c r="CI23" s="170"/>
      <c r="CJ23" s="170"/>
      <c r="CK23" s="170"/>
      <c r="CL23" s="170"/>
      <c r="CM23" s="170"/>
      <c r="CN23" s="170"/>
      <c r="CO23" s="170"/>
      <c r="CP23" s="170"/>
      <c r="CQ23" s="170"/>
      <c r="CR23" s="170"/>
      <c r="CS23" s="170"/>
      <c r="CT23" s="170"/>
      <c r="CU23" s="170"/>
      <c r="CV23" s="170"/>
      <c r="CW23" s="170"/>
      <c r="CX23" s="170"/>
      <c r="CY23" s="170"/>
      <c r="CZ23" s="170"/>
      <c r="DA23" s="32"/>
      <c r="DB23" s="32"/>
      <c r="DC23" s="32"/>
      <c r="DD23" s="30"/>
      <c r="DE23" s="125"/>
      <c r="DF23" s="29"/>
    </row>
    <row r="24" spans="1:110" ht="5.0999999999999996" customHeight="1" x14ac:dyDescent="0.25">
      <c r="A24" s="34"/>
      <c r="B24" s="170"/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170"/>
      <c r="CG24" s="170"/>
      <c r="CH24" s="170"/>
      <c r="CI24" s="170"/>
      <c r="CJ24" s="170"/>
      <c r="CK24" s="170"/>
      <c r="CL24" s="170"/>
      <c r="CM24" s="170"/>
      <c r="CN24" s="170"/>
      <c r="CO24" s="170"/>
      <c r="CP24" s="170"/>
      <c r="CQ24" s="170"/>
      <c r="CR24" s="170"/>
      <c r="CS24" s="170"/>
      <c r="CT24" s="170"/>
      <c r="CU24" s="170"/>
      <c r="CV24" s="170"/>
      <c r="CW24" s="170"/>
      <c r="CX24" s="170"/>
      <c r="CY24" s="170"/>
      <c r="CZ24" s="170"/>
      <c r="DA24" s="33"/>
      <c r="DB24" s="33"/>
      <c r="DC24" s="33"/>
      <c r="DD24" s="30"/>
      <c r="DE24" s="125"/>
      <c r="DF24" s="29"/>
    </row>
    <row r="25" spans="1:110" ht="5.25" customHeight="1" x14ac:dyDescent="0.25">
      <c r="A25" s="34"/>
      <c r="B25" s="170">
        <f>'4 доп.сведения'!B7</f>
        <v>0</v>
      </c>
      <c r="C25" s="170"/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  <c r="AB25" s="170"/>
      <c r="AC25" s="170"/>
      <c r="AD25" s="170"/>
      <c r="AE25" s="170"/>
      <c r="AF25" s="170"/>
      <c r="AG25" s="170"/>
      <c r="AH25" s="170"/>
      <c r="AI25" s="170"/>
      <c r="AJ25" s="170"/>
      <c r="AK25" s="170"/>
      <c r="AL25" s="170"/>
      <c r="AM25" s="170"/>
      <c r="AN25" s="170"/>
      <c r="AO25" s="170"/>
      <c r="AP25" s="170"/>
      <c r="AQ25" s="170"/>
      <c r="AR25" s="170"/>
      <c r="AS25" s="170"/>
      <c r="AT25" s="170"/>
      <c r="AU25" s="170"/>
      <c r="AV25" s="170"/>
      <c r="AW25" s="170"/>
      <c r="AX25" s="170"/>
      <c r="AY25" s="170"/>
      <c r="AZ25" s="17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170"/>
      <c r="CG25" s="170"/>
      <c r="CH25" s="170"/>
      <c r="CI25" s="170"/>
      <c r="CJ25" s="170"/>
      <c r="CK25" s="170"/>
      <c r="CL25" s="170"/>
      <c r="CM25" s="170"/>
      <c r="CN25" s="170"/>
      <c r="CO25" s="170"/>
      <c r="CP25" s="170"/>
      <c r="CQ25" s="170"/>
      <c r="CR25" s="170"/>
      <c r="CS25" s="170"/>
      <c r="CT25" s="170"/>
      <c r="CU25" s="170"/>
      <c r="CV25" s="170"/>
      <c r="CW25" s="170"/>
      <c r="CX25" s="170"/>
      <c r="CY25" s="170"/>
      <c r="CZ25" s="170"/>
      <c r="DA25" s="33"/>
      <c r="DB25" s="33"/>
      <c r="DC25" s="33"/>
      <c r="DD25" s="30"/>
      <c r="DE25" s="125"/>
      <c r="DF25" s="29"/>
    </row>
    <row r="26" spans="1:110" ht="4.5" customHeight="1" x14ac:dyDescent="0.25">
      <c r="A26" s="34"/>
      <c r="B26" s="170"/>
      <c r="C26" s="170"/>
      <c r="D26" s="170"/>
      <c r="E26" s="170"/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  <c r="AB26" s="170"/>
      <c r="AC26" s="170"/>
      <c r="AD26" s="170"/>
      <c r="AE26" s="170"/>
      <c r="AF26" s="170"/>
      <c r="AG26" s="170"/>
      <c r="AH26" s="170"/>
      <c r="AI26" s="170"/>
      <c r="AJ26" s="170"/>
      <c r="AK26" s="170"/>
      <c r="AL26" s="170"/>
      <c r="AM26" s="170"/>
      <c r="AN26" s="170"/>
      <c r="AO26" s="170"/>
      <c r="AP26" s="170"/>
      <c r="AQ26" s="170"/>
      <c r="AR26" s="170"/>
      <c r="AS26" s="170"/>
      <c r="AT26" s="170"/>
      <c r="AU26" s="170"/>
      <c r="AV26" s="170"/>
      <c r="AW26" s="170"/>
      <c r="AX26" s="170"/>
      <c r="AY26" s="170"/>
      <c r="AZ26" s="17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170"/>
      <c r="CG26" s="170"/>
      <c r="CH26" s="170"/>
      <c r="CI26" s="170"/>
      <c r="CJ26" s="170"/>
      <c r="CK26" s="170"/>
      <c r="CL26" s="170"/>
      <c r="CM26" s="170"/>
      <c r="CN26" s="170"/>
      <c r="CO26" s="170"/>
      <c r="CP26" s="170"/>
      <c r="CQ26" s="170"/>
      <c r="CR26" s="170"/>
      <c r="CS26" s="170"/>
      <c r="CT26" s="170"/>
      <c r="CU26" s="170"/>
      <c r="CV26" s="170"/>
      <c r="CW26" s="170"/>
      <c r="CX26" s="170"/>
      <c r="CY26" s="170"/>
      <c r="CZ26" s="170"/>
      <c r="DA26" s="33"/>
      <c r="DB26" s="33"/>
      <c r="DC26" s="33"/>
      <c r="DD26" s="30"/>
      <c r="DE26" s="125"/>
      <c r="DF26" s="29"/>
    </row>
    <row r="27" spans="1:110" ht="5.0999999999999996" customHeight="1" x14ac:dyDescent="0.25">
      <c r="A27" s="34"/>
      <c r="B27" s="170"/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0"/>
      <c r="AX27" s="170"/>
      <c r="AY27" s="170"/>
      <c r="AZ27" s="17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170"/>
      <c r="CG27" s="170"/>
      <c r="CH27" s="170"/>
      <c r="CI27" s="170"/>
      <c r="CJ27" s="170"/>
      <c r="CK27" s="170"/>
      <c r="CL27" s="170"/>
      <c r="CM27" s="170"/>
      <c r="CN27" s="170"/>
      <c r="CO27" s="170"/>
      <c r="CP27" s="170"/>
      <c r="CQ27" s="170"/>
      <c r="CR27" s="170"/>
      <c r="CS27" s="170"/>
      <c r="CT27" s="170"/>
      <c r="CU27" s="170"/>
      <c r="CV27" s="170"/>
      <c r="CW27" s="170"/>
      <c r="CX27" s="170"/>
      <c r="CY27" s="170"/>
      <c r="CZ27" s="170"/>
      <c r="DA27" s="33"/>
      <c r="DB27" s="33"/>
      <c r="DC27" s="33"/>
      <c r="DD27" s="30"/>
      <c r="DE27" s="125"/>
      <c r="DF27" s="29"/>
    </row>
    <row r="28" spans="1:110" ht="5.0999999999999996" customHeight="1" x14ac:dyDescent="0.25">
      <c r="A28" s="34"/>
      <c r="B28" s="170"/>
      <c r="C28" s="170"/>
      <c r="D28" s="170"/>
      <c r="E28" s="170"/>
      <c r="F28" s="170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  <c r="AA28" s="170"/>
      <c r="AB28" s="170"/>
      <c r="AC28" s="170"/>
      <c r="AD28" s="170"/>
      <c r="AE28" s="170"/>
      <c r="AF28" s="170"/>
      <c r="AG28" s="170"/>
      <c r="AH28" s="170"/>
      <c r="AI28" s="170"/>
      <c r="AJ28" s="170"/>
      <c r="AK28" s="170"/>
      <c r="AL28" s="170"/>
      <c r="AM28" s="170"/>
      <c r="AN28" s="170"/>
      <c r="AO28" s="170"/>
      <c r="AP28" s="170"/>
      <c r="AQ28" s="170"/>
      <c r="AR28" s="170"/>
      <c r="AS28" s="170"/>
      <c r="AT28" s="170"/>
      <c r="AU28" s="170"/>
      <c r="AV28" s="170"/>
      <c r="AW28" s="170"/>
      <c r="AX28" s="170"/>
      <c r="AY28" s="170"/>
      <c r="AZ28" s="17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47"/>
      <c r="CG28" s="47"/>
      <c r="CH28" s="47"/>
      <c r="CI28" s="47"/>
      <c r="CJ28" s="47"/>
      <c r="CK28" s="47"/>
      <c r="CL28" s="47"/>
      <c r="CM28" s="47"/>
      <c r="CN28" s="47"/>
      <c r="CO28" s="47"/>
      <c r="CP28" s="47"/>
      <c r="CQ28" s="47"/>
      <c r="CR28" s="47"/>
      <c r="CS28" s="47"/>
      <c r="CT28" s="47"/>
      <c r="CU28" s="47"/>
      <c r="CV28" s="47"/>
      <c r="CW28" s="47"/>
      <c r="CX28" s="47"/>
      <c r="CY28" s="47"/>
      <c r="CZ28" s="47"/>
      <c r="DA28" s="33"/>
      <c r="DB28" s="33"/>
      <c r="DC28" s="33"/>
      <c r="DD28" s="30"/>
      <c r="DE28" s="125"/>
      <c r="DF28" s="29"/>
    </row>
    <row r="29" spans="1:110" ht="5.0999999999999996" customHeight="1" x14ac:dyDescent="0.25">
      <c r="A29" s="34"/>
      <c r="B29" s="170"/>
      <c r="C29" s="170"/>
      <c r="D29" s="170"/>
      <c r="E29" s="170"/>
      <c r="F29" s="170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  <c r="AB29" s="170"/>
      <c r="AC29" s="170"/>
      <c r="AD29" s="170"/>
      <c r="AE29" s="170"/>
      <c r="AF29" s="170"/>
      <c r="AG29" s="170"/>
      <c r="AH29" s="170"/>
      <c r="AI29" s="170"/>
      <c r="AJ29" s="170"/>
      <c r="AK29" s="170"/>
      <c r="AL29" s="170"/>
      <c r="AM29" s="170"/>
      <c r="AN29" s="170"/>
      <c r="AO29" s="170"/>
      <c r="AP29" s="170"/>
      <c r="AQ29" s="170"/>
      <c r="AR29" s="170"/>
      <c r="AS29" s="170"/>
      <c r="AT29" s="170"/>
      <c r="AU29" s="170"/>
      <c r="AV29" s="170"/>
      <c r="AW29" s="170"/>
      <c r="AX29" s="170"/>
      <c r="AY29" s="170"/>
      <c r="AZ29" s="17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47"/>
      <c r="CG29" s="47"/>
      <c r="CH29" s="47"/>
      <c r="CI29" s="47"/>
      <c r="CJ29" s="47"/>
      <c r="CK29" s="47"/>
      <c r="CL29" s="47"/>
      <c r="CM29" s="47"/>
      <c r="CN29" s="47"/>
      <c r="CO29" s="47"/>
      <c r="CP29" s="47"/>
      <c r="CQ29" s="47"/>
      <c r="CR29" s="47"/>
      <c r="CS29" s="47"/>
      <c r="CT29" s="47"/>
      <c r="CU29" s="47"/>
      <c r="CV29" s="47"/>
      <c r="CW29" s="47"/>
      <c r="CX29" s="47"/>
      <c r="CY29" s="47"/>
      <c r="CZ29" s="47"/>
      <c r="DA29" s="36"/>
      <c r="DB29" s="36"/>
      <c r="DC29" s="36"/>
      <c r="DD29" s="30"/>
      <c r="DE29" s="125"/>
      <c r="DF29" s="29"/>
    </row>
    <row r="30" spans="1:110" ht="5.0999999999999996" customHeight="1" x14ac:dyDescent="0.25">
      <c r="A30" s="34"/>
      <c r="B30" s="170"/>
      <c r="C30" s="170"/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0"/>
      <c r="AB30" s="170"/>
      <c r="AC30" s="170"/>
      <c r="AD30" s="170"/>
      <c r="AE30" s="170"/>
      <c r="AF30" s="170"/>
      <c r="AG30" s="170"/>
      <c r="AH30" s="170"/>
      <c r="AI30" s="170"/>
      <c r="AJ30" s="170"/>
      <c r="AK30" s="170"/>
      <c r="AL30" s="170"/>
      <c r="AM30" s="170"/>
      <c r="AN30" s="170"/>
      <c r="AO30" s="170"/>
      <c r="AP30" s="170"/>
      <c r="AQ30" s="170"/>
      <c r="AR30" s="170"/>
      <c r="AS30" s="170"/>
      <c r="AT30" s="170"/>
      <c r="AU30" s="170"/>
      <c r="AV30" s="170"/>
      <c r="AW30" s="170"/>
      <c r="AX30" s="170"/>
      <c r="AY30" s="170"/>
      <c r="AZ30" s="17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47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47"/>
      <c r="CR30" s="47"/>
      <c r="CS30" s="47"/>
      <c r="CT30" s="47"/>
      <c r="CU30" s="47"/>
      <c r="CV30" s="47"/>
      <c r="CW30" s="47"/>
      <c r="CX30" s="47"/>
      <c r="CY30" s="47"/>
      <c r="CZ30" s="47"/>
      <c r="DA30" s="36"/>
      <c r="DB30" s="36"/>
      <c r="DC30" s="36"/>
      <c r="DD30" s="30"/>
      <c r="DE30" s="125"/>
      <c r="DF30" s="29"/>
    </row>
    <row r="31" spans="1:110" ht="5.0999999999999996" customHeight="1" x14ac:dyDescent="0.25">
      <c r="A31" s="34"/>
      <c r="B31" s="170"/>
      <c r="C31" s="170"/>
      <c r="D31" s="170"/>
      <c r="E31" s="170"/>
      <c r="F31" s="170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  <c r="AA31" s="170"/>
      <c r="AB31" s="170"/>
      <c r="AC31" s="170"/>
      <c r="AD31" s="170"/>
      <c r="AE31" s="170"/>
      <c r="AF31" s="170"/>
      <c r="AG31" s="170"/>
      <c r="AH31" s="170"/>
      <c r="AI31" s="170"/>
      <c r="AJ31" s="170"/>
      <c r="AK31" s="170"/>
      <c r="AL31" s="170"/>
      <c r="AM31" s="170"/>
      <c r="AN31" s="170"/>
      <c r="AO31" s="170"/>
      <c r="AP31" s="170"/>
      <c r="AQ31" s="170"/>
      <c r="AR31" s="170"/>
      <c r="AS31" s="170"/>
      <c r="AT31" s="170"/>
      <c r="AU31" s="170"/>
      <c r="AV31" s="170"/>
      <c r="AW31" s="170"/>
      <c r="AX31" s="170"/>
      <c r="AY31" s="170"/>
      <c r="AZ31" s="17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124"/>
      <c r="DB31" s="124"/>
      <c r="DC31" s="124"/>
      <c r="DD31" s="30"/>
      <c r="DE31" s="125"/>
      <c r="DF31" s="29"/>
    </row>
    <row r="32" spans="1:110" ht="5.0999999999999996" customHeight="1" x14ac:dyDescent="0.25">
      <c r="A32" s="34"/>
      <c r="B32" s="170"/>
      <c r="C32" s="170"/>
      <c r="D32" s="170"/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  <c r="AA32" s="170"/>
      <c r="AB32" s="170"/>
      <c r="AC32" s="170"/>
      <c r="AD32" s="170"/>
      <c r="AE32" s="170"/>
      <c r="AF32" s="170"/>
      <c r="AG32" s="170"/>
      <c r="AH32" s="170"/>
      <c r="AI32" s="170"/>
      <c r="AJ32" s="170"/>
      <c r="AK32" s="170"/>
      <c r="AL32" s="170"/>
      <c r="AM32" s="170"/>
      <c r="AN32" s="170"/>
      <c r="AO32" s="170"/>
      <c r="AP32" s="170"/>
      <c r="AQ32" s="170"/>
      <c r="AR32" s="170"/>
      <c r="AS32" s="170"/>
      <c r="AT32" s="170"/>
      <c r="AU32" s="170"/>
      <c r="AV32" s="170"/>
      <c r="AW32" s="170"/>
      <c r="AX32" s="170"/>
      <c r="AY32" s="170"/>
      <c r="AZ32" s="17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47"/>
      <c r="CG32" s="47"/>
      <c r="CH32" s="47"/>
      <c r="CI32" s="47"/>
      <c r="CJ32" s="47"/>
      <c r="CK32" s="47"/>
      <c r="CL32" s="47"/>
      <c r="CM32" s="47"/>
      <c r="CN32" s="47"/>
      <c r="CO32" s="47"/>
      <c r="CP32" s="47"/>
      <c r="CQ32" s="47"/>
      <c r="CR32" s="47"/>
      <c r="CS32" s="47"/>
      <c r="CT32" s="47"/>
      <c r="CU32" s="47"/>
      <c r="CV32" s="47"/>
      <c r="CW32" s="47"/>
      <c r="CX32" s="47"/>
      <c r="CY32" s="47"/>
      <c r="CZ32" s="47"/>
      <c r="DA32" s="124"/>
      <c r="DB32" s="124"/>
      <c r="DC32" s="124"/>
      <c r="DD32" s="30"/>
      <c r="DE32" s="125"/>
      <c r="DF32" s="29"/>
    </row>
    <row r="33" spans="1:110" ht="5.0999999999999996" customHeight="1" x14ac:dyDescent="0.3">
      <c r="A33" s="34"/>
      <c r="B33" s="170"/>
      <c r="C33" s="170"/>
      <c r="D33" s="170"/>
      <c r="E33" s="170"/>
      <c r="F33" s="170"/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  <c r="AA33" s="170"/>
      <c r="AB33" s="170"/>
      <c r="AC33" s="170"/>
      <c r="AD33" s="170"/>
      <c r="AE33" s="170"/>
      <c r="AF33" s="170"/>
      <c r="AG33" s="170"/>
      <c r="AH33" s="170"/>
      <c r="AI33" s="170"/>
      <c r="AJ33" s="170"/>
      <c r="AK33" s="170"/>
      <c r="AL33" s="170"/>
      <c r="AM33" s="170"/>
      <c r="AN33" s="170"/>
      <c r="AO33" s="170"/>
      <c r="AP33" s="170"/>
      <c r="AQ33" s="170"/>
      <c r="AR33" s="170"/>
      <c r="AS33" s="170"/>
      <c r="AT33" s="170"/>
      <c r="AU33" s="170"/>
      <c r="AV33" s="170"/>
      <c r="AW33" s="170"/>
      <c r="AX33" s="170"/>
      <c r="AY33" s="170"/>
      <c r="AZ33" s="17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47"/>
      <c r="CH33" s="47"/>
      <c r="CI33" s="47"/>
      <c r="CJ33" s="47"/>
      <c r="CK33" s="47"/>
      <c r="CL33" s="47"/>
      <c r="CM33" s="47"/>
      <c r="CN33" s="47"/>
      <c r="CO33" s="47"/>
      <c r="CP33" s="47"/>
      <c r="CQ33" s="47"/>
      <c r="CR33" s="47"/>
      <c r="CS33" s="47"/>
      <c r="CT33" s="47"/>
      <c r="CU33" s="47"/>
      <c r="CV33" s="47"/>
      <c r="CW33" s="47"/>
      <c r="CX33" s="47"/>
      <c r="CY33" s="47"/>
      <c r="CZ33" s="47"/>
      <c r="DA33" s="47"/>
      <c r="DB33" s="32"/>
      <c r="DC33" s="32"/>
      <c r="DD33" s="30"/>
      <c r="DE33" s="125"/>
      <c r="DF33" s="29"/>
    </row>
    <row r="34" spans="1:110" ht="5.0999999999999996" customHeight="1" x14ac:dyDescent="0.25">
      <c r="A34" s="34"/>
      <c r="B34" s="170" t="str">
        <f>IF(LEN(TRIM('4 доп.сведения'!B18))=0," ",'4 доп.сведения'!B18)</f>
        <v xml:space="preserve"> </v>
      </c>
      <c r="C34" s="170"/>
      <c r="D34" s="170"/>
      <c r="E34" s="170"/>
      <c r="F34" s="170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  <c r="AA34" s="170"/>
      <c r="AB34" s="170"/>
      <c r="AC34" s="170"/>
      <c r="AD34" s="170"/>
      <c r="AE34" s="170"/>
      <c r="AF34" s="170"/>
      <c r="AG34" s="170"/>
      <c r="AH34" s="170"/>
      <c r="AI34" s="170"/>
      <c r="AJ34" s="170"/>
      <c r="AK34" s="170"/>
      <c r="AL34" s="170"/>
      <c r="AM34" s="170"/>
      <c r="AN34" s="170"/>
      <c r="AO34" s="170"/>
      <c r="AP34" s="170"/>
      <c r="AQ34" s="170"/>
      <c r="AR34" s="170"/>
      <c r="AS34" s="170"/>
      <c r="AT34" s="170"/>
      <c r="AU34" s="170"/>
      <c r="AV34" s="170"/>
      <c r="AW34" s="170"/>
      <c r="AX34" s="170"/>
      <c r="AY34" s="170"/>
      <c r="AZ34" s="17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147"/>
      <c r="CH34" s="147"/>
      <c r="CI34" s="147"/>
      <c r="CJ34" s="147"/>
      <c r="CK34" s="147"/>
      <c r="CL34" s="147"/>
      <c r="CM34" s="147"/>
      <c r="CN34" s="147"/>
      <c r="CO34" s="147"/>
      <c r="CP34" s="147"/>
      <c r="CQ34" s="147"/>
      <c r="CR34" s="147"/>
      <c r="CS34" s="147"/>
      <c r="CT34" s="147"/>
      <c r="CU34" s="147"/>
      <c r="CV34" s="147"/>
      <c r="CW34" s="147"/>
      <c r="CX34" s="147"/>
      <c r="CY34" s="147"/>
      <c r="CZ34" s="147"/>
      <c r="DA34" s="147"/>
      <c r="DB34" s="124"/>
      <c r="DC34" s="124"/>
      <c r="DD34" s="30"/>
      <c r="DE34" s="125"/>
      <c r="DF34" s="29"/>
    </row>
    <row r="35" spans="1:110" ht="5.0999999999999996" customHeight="1" x14ac:dyDescent="0.25">
      <c r="A35" s="34"/>
      <c r="B35" s="170"/>
      <c r="C35" s="170"/>
      <c r="D35" s="170"/>
      <c r="E35" s="170"/>
      <c r="F35" s="170"/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  <c r="AA35" s="170"/>
      <c r="AB35" s="170"/>
      <c r="AC35" s="170"/>
      <c r="AD35" s="170"/>
      <c r="AE35" s="170"/>
      <c r="AF35" s="170"/>
      <c r="AG35" s="170"/>
      <c r="AH35" s="170"/>
      <c r="AI35" s="170"/>
      <c r="AJ35" s="170"/>
      <c r="AK35" s="170"/>
      <c r="AL35" s="170"/>
      <c r="AM35" s="170"/>
      <c r="AN35" s="170"/>
      <c r="AO35" s="170"/>
      <c r="AP35" s="170"/>
      <c r="AQ35" s="170"/>
      <c r="AR35" s="170"/>
      <c r="AS35" s="170"/>
      <c r="AT35" s="170"/>
      <c r="AU35" s="170"/>
      <c r="AV35" s="170"/>
      <c r="AW35" s="170"/>
      <c r="AX35" s="170"/>
      <c r="AY35" s="170"/>
      <c r="AZ35" s="17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170" t="str">
        <f>'1 Обладатель диплома'!B4</f>
        <v>Имя</v>
      </c>
      <c r="CG35" s="170"/>
      <c r="CH35" s="170"/>
      <c r="CI35" s="170"/>
      <c r="CJ35" s="170"/>
      <c r="CK35" s="170"/>
      <c r="CL35" s="170"/>
      <c r="CM35" s="170"/>
      <c r="CN35" s="170"/>
      <c r="CO35" s="170"/>
      <c r="CP35" s="170"/>
      <c r="CQ35" s="170"/>
      <c r="CR35" s="170"/>
      <c r="CS35" s="170"/>
      <c r="CT35" s="170"/>
      <c r="CU35" s="170"/>
      <c r="CV35" s="170"/>
      <c r="CW35" s="170"/>
      <c r="CX35" s="170"/>
      <c r="CY35" s="170"/>
      <c r="CZ35" s="170"/>
      <c r="DA35" s="147"/>
      <c r="DB35" s="36"/>
      <c r="DC35" s="36"/>
      <c r="DD35" s="30"/>
      <c r="DE35" s="125"/>
      <c r="DF35" s="29"/>
    </row>
    <row r="36" spans="1:110" ht="5.0999999999999996" customHeight="1" x14ac:dyDescent="0.25">
      <c r="A36" s="34"/>
      <c r="B36" s="170"/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  <c r="AA36" s="170"/>
      <c r="AB36" s="170"/>
      <c r="AC36" s="170"/>
      <c r="AD36" s="170"/>
      <c r="AE36" s="170"/>
      <c r="AF36" s="170"/>
      <c r="AG36" s="170"/>
      <c r="AH36" s="170"/>
      <c r="AI36" s="170"/>
      <c r="AJ36" s="170"/>
      <c r="AK36" s="170"/>
      <c r="AL36" s="170"/>
      <c r="AM36" s="170"/>
      <c r="AN36" s="170"/>
      <c r="AO36" s="170"/>
      <c r="AP36" s="170"/>
      <c r="AQ36" s="170"/>
      <c r="AR36" s="170"/>
      <c r="AS36" s="170"/>
      <c r="AT36" s="170"/>
      <c r="AU36" s="170"/>
      <c r="AV36" s="170"/>
      <c r="AW36" s="170"/>
      <c r="AX36" s="170"/>
      <c r="AY36" s="170"/>
      <c r="AZ36" s="17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170"/>
      <c r="CG36" s="170"/>
      <c r="CH36" s="170"/>
      <c r="CI36" s="170"/>
      <c r="CJ36" s="170"/>
      <c r="CK36" s="170"/>
      <c r="CL36" s="170"/>
      <c r="CM36" s="170"/>
      <c r="CN36" s="170"/>
      <c r="CO36" s="170"/>
      <c r="CP36" s="170"/>
      <c r="CQ36" s="170"/>
      <c r="CR36" s="170"/>
      <c r="CS36" s="170"/>
      <c r="CT36" s="170"/>
      <c r="CU36" s="170"/>
      <c r="CV36" s="170"/>
      <c r="CW36" s="170"/>
      <c r="CX36" s="170"/>
      <c r="CY36" s="170"/>
      <c r="CZ36" s="170"/>
      <c r="DA36" s="147"/>
      <c r="DB36" s="36"/>
      <c r="DC36" s="36"/>
      <c r="DD36" s="30"/>
      <c r="DE36" s="125"/>
      <c r="DF36" s="29"/>
    </row>
    <row r="37" spans="1:110" ht="5.25" customHeight="1" x14ac:dyDescent="0.25">
      <c r="A37" s="34"/>
      <c r="B37" s="170" t="str">
        <f>IF(LEN(TRIM('4 доп.сведения'!B21))=0," ",'4 доп.сведения'!B21)</f>
        <v xml:space="preserve"> </v>
      </c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  <c r="AA37" s="170"/>
      <c r="AB37" s="170"/>
      <c r="AC37" s="170"/>
      <c r="AD37" s="170"/>
      <c r="AE37" s="170"/>
      <c r="AF37" s="170"/>
      <c r="AG37" s="170"/>
      <c r="AH37" s="170"/>
      <c r="AI37" s="170"/>
      <c r="AJ37" s="170"/>
      <c r="AK37" s="170"/>
      <c r="AL37" s="170"/>
      <c r="AM37" s="170"/>
      <c r="AN37" s="170"/>
      <c r="AO37" s="170"/>
      <c r="AP37" s="170"/>
      <c r="AQ37" s="170"/>
      <c r="AR37" s="170"/>
      <c r="AS37" s="170"/>
      <c r="AT37" s="170"/>
      <c r="AU37" s="170"/>
      <c r="AV37" s="170"/>
      <c r="AW37" s="170"/>
      <c r="AX37" s="170"/>
      <c r="AY37" s="170"/>
      <c r="AZ37" s="17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170"/>
      <c r="CG37" s="170"/>
      <c r="CH37" s="170"/>
      <c r="CI37" s="170"/>
      <c r="CJ37" s="170"/>
      <c r="CK37" s="170"/>
      <c r="CL37" s="170"/>
      <c r="CM37" s="170"/>
      <c r="CN37" s="170"/>
      <c r="CO37" s="170"/>
      <c r="CP37" s="170"/>
      <c r="CQ37" s="170"/>
      <c r="CR37" s="170"/>
      <c r="CS37" s="170"/>
      <c r="CT37" s="170"/>
      <c r="CU37" s="170"/>
      <c r="CV37" s="170"/>
      <c r="CW37" s="170"/>
      <c r="CX37" s="170"/>
      <c r="CY37" s="170"/>
      <c r="CZ37" s="170"/>
      <c r="DA37" s="30"/>
      <c r="DB37" s="30"/>
      <c r="DC37" s="30"/>
      <c r="DD37" s="30"/>
      <c r="DE37" s="125"/>
      <c r="DF37" s="29"/>
    </row>
    <row r="38" spans="1:110" ht="6" customHeight="1" x14ac:dyDescent="0.25">
      <c r="A38" s="34"/>
      <c r="B38" s="170"/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  <c r="AA38" s="170"/>
      <c r="AB38" s="170"/>
      <c r="AC38" s="170"/>
      <c r="AD38" s="170"/>
      <c r="AE38" s="170"/>
      <c r="AF38" s="170"/>
      <c r="AG38" s="170"/>
      <c r="AH38" s="170"/>
      <c r="AI38" s="170"/>
      <c r="AJ38" s="170"/>
      <c r="AK38" s="170"/>
      <c r="AL38" s="170"/>
      <c r="AM38" s="170"/>
      <c r="AN38" s="170"/>
      <c r="AO38" s="170"/>
      <c r="AP38" s="170"/>
      <c r="AQ38" s="170"/>
      <c r="AR38" s="170"/>
      <c r="AS38" s="170"/>
      <c r="AT38" s="170"/>
      <c r="AU38" s="170"/>
      <c r="AV38" s="170"/>
      <c r="AW38" s="170"/>
      <c r="AX38" s="170"/>
      <c r="AY38" s="170"/>
      <c r="AZ38" s="17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170"/>
      <c r="CG38" s="170"/>
      <c r="CH38" s="170"/>
      <c r="CI38" s="170"/>
      <c r="CJ38" s="170"/>
      <c r="CK38" s="170"/>
      <c r="CL38" s="170"/>
      <c r="CM38" s="170"/>
      <c r="CN38" s="170"/>
      <c r="CO38" s="170"/>
      <c r="CP38" s="170"/>
      <c r="CQ38" s="170"/>
      <c r="CR38" s="170"/>
      <c r="CS38" s="170"/>
      <c r="CT38" s="170"/>
      <c r="CU38" s="170"/>
      <c r="CV38" s="170"/>
      <c r="CW38" s="170"/>
      <c r="CX38" s="170"/>
      <c r="CY38" s="170"/>
      <c r="CZ38" s="170"/>
      <c r="DA38" s="30"/>
      <c r="DB38" s="30"/>
      <c r="DC38" s="30"/>
      <c r="DD38" s="30"/>
      <c r="DE38" s="125"/>
      <c r="DF38" s="29"/>
    </row>
    <row r="39" spans="1:110" ht="5.0999999999999996" customHeight="1" x14ac:dyDescent="0.25">
      <c r="A39" s="34"/>
      <c r="B39" s="170"/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0"/>
      <c r="X39" s="170"/>
      <c r="Y39" s="170"/>
      <c r="Z39" s="170"/>
      <c r="AA39" s="170"/>
      <c r="AB39" s="170"/>
      <c r="AC39" s="170"/>
      <c r="AD39" s="170"/>
      <c r="AE39" s="170"/>
      <c r="AF39" s="170"/>
      <c r="AG39" s="170"/>
      <c r="AH39" s="170"/>
      <c r="AI39" s="170"/>
      <c r="AJ39" s="170"/>
      <c r="AK39" s="170"/>
      <c r="AL39" s="170"/>
      <c r="AM39" s="170"/>
      <c r="AN39" s="170"/>
      <c r="AO39" s="170"/>
      <c r="AP39" s="170"/>
      <c r="AQ39" s="170"/>
      <c r="AR39" s="170"/>
      <c r="AS39" s="170"/>
      <c r="AT39" s="170"/>
      <c r="AU39" s="170"/>
      <c r="AV39" s="170"/>
      <c r="AW39" s="170"/>
      <c r="AX39" s="170"/>
      <c r="AY39" s="170"/>
      <c r="AZ39" s="17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170"/>
      <c r="CG39" s="170"/>
      <c r="CH39" s="170"/>
      <c r="CI39" s="170"/>
      <c r="CJ39" s="170"/>
      <c r="CK39" s="170"/>
      <c r="CL39" s="170"/>
      <c r="CM39" s="170"/>
      <c r="CN39" s="170"/>
      <c r="CO39" s="170"/>
      <c r="CP39" s="170"/>
      <c r="CQ39" s="170"/>
      <c r="CR39" s="170"/>
      <c r="CS39" s="170"/>
      <c r="CT39" s="170"/>
      <c r="CU39" s="170"/>
      <c r="CV39" s="170"/>
      <c r="CW39" s="170"/>
      <c r="CX39" s="170"/>
      <c r="CY39" s="170"/>
      <c r="CZ39" s="170"/>
      <c r="DA39" s="30"/>
      <c r="DB39" s="30"/>
      <c r="DC39" s="30"/>
      <c r="DD39" s="30"/>
      <c r="DE39" s="125"/>
      <c r="DF39" s="29"/>
    </row>
    <row r="40" spans="1:110" ht="5.0999999999999996" customHeight="1" x14ac:dyDescent="0.25">
      <c r="A40" s="34"/>
      <c r="B40" s="169" t="str">
        <f>IF(LEN(TRIM('4 доп.сведения'!B24))=0," ",'4 доп.сведения'!B24)</f>
        <v xml:space="preserve"> </v>
      </c>
      <c r="C40" s="169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69"/>
      <c r="R40" s="169"/>
      <c r="S40" s="169"/>
      <c r="T40" s="169"/>
      <c r="U40" s="169"/>
      <c r="V40" s="169"/>
      <c r="W40" s="169"/>
      <c r="X40" s="169"/>
      <c r="Y40" s="169"/>
      <c r="Z40" s="169"/>
      <c r="AA40" s="169"/>
      <c r="AB40" s="169"/>
      <c r="AC40" s="169"/>
      <c r="AD40" s="169"/>
      <c r="AE40" s="169"/>
      <c r="AF40" s="169"/>
      <c r="AG40" s="169"/>
      <c r="AH40" s="169"/>
      <c r="AI40" s="169"/>
      <c r="AJ40" s="169"/>
      <c r="AK40" s="169"/>
      <c r="AL40" s="169"/>
      <c r="AM40" s="169"/>
      <c r="AN40" s="169"/>
      <c r="AO40" s="169"/>
      <c r="AP40" s="169"/>
      <c r="AQ40" s="169"/>
      <c r="AR40" s="169"/>
      <c r="AS40" s="169"/>
      <c r="AT40" s="169"/>
      <c r="AU40" s="169"/>
      <c r="AV40" s="169"/>
      <c r="AW40" s="169"/>
      <c r="AX40" s="169"/>
      <c r="AY40" s="169"/>
      <c r="AZ40" s="169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170"/>
      <c r="CG40" s="170"/>
      <c r="CH40" s="170"/>
      <c r="CI40" s="170"/>
      <c r="CJ40" s="170"/>
      <c r="CK40" s="170"/>
      <c r="CL40" s="170"/>
      <c r="CM40" s="170"/>
      <c r="CN40" s="170"/>
      <c r="CO40" s="170"/>
      <c r="CP40" s="170"/>
      <c r="CQ40" s="170"/>
      <c r="CR40" s="170"/>
      <c r="CS40" s="170"/>
      <c r="CT40" s="170"/>
      <c r="CU40" s="170"/>
      <c r="CV40" s="170"/>
      <c r="CW40" s="170"/>
      <c r="CX40" s="170"/>
      <c r="CY40" s="170"/>
      <c r="CZ40" s="170"/>
      <c r="DA40" s="30"/>
      <c r="DB40" s="30"/>
      <c r="DC40" s="30"/>
      <c r="DD40" s="30"/>
      <c r="DE40" s="125"/>
      <c r="DF40" s="29"/>
    </row>
    <row r="41" spans="1:110" ht="5.0999999999999996" customHeight="1" x14ac:dyDescent="0.25">
      <c r="A41" s="34"/>
      <c r="B41" s="169"/>
      <c r="C41" s="169"/>
      <c r="D41" s="169"/>
      <c r="E41" s="169"/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9"/>
      <c r="Q41" s="169"/>
      <c r="R41" s="169"/>
      <c r="S41" s="169"/>
      <c r="T41" s="169"/>
      <c r="U41" s="169"/>
      <c r="V41" s="169"/>
      <c r="W41" s="169"/>
      <c r="X41" s="169"/>
      <c r="Y41" s="169"/>
      <c r="Z41" s="169"/>
      <c r="AA41" s="169"/>
      <c r="AB41" s="169"/>
      <c r="AC41" s="169"/>
      <c r="AD41" s="169"/>
      <c r="AE41" s="169"/>
      <c r="AF41" s="169"/>
      <c r="AG41" s="169"/>
      <c r="AH41" s="169"/>
      <c r="AI41" s="169"/>
      <c r="AJ41" s="169"/>
      <c r="AK41" s="169"/>
      <c r="AL41" s="169"/>
      <c r="AM41" s="169"/>
      <c r="AN41" s="169"/>
      <c r="AO41" s="169"/>
      <c r="AP41" s="169"/>
      <c r="AQ41" s="169"/>
      <c r="AR41" s="169"/>
      <c r="AS41" s="169"/>
      <c r="AT41" s="169"/>
      <c r="AU41" s="169"/>
      <c r="AV41" s="169"/>
      <c r="AW41" s="169"/>
      <c r="AX41" s="169"/>
      <c r="AY41" s="169"/>
      <c r="AZ41" s="169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47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7"/>
      <c r="CU41" s="47"/>
      <c r="CV41" s="47"/>
      <c r="CW41" s="47"/>
      <c r="CX41" s="47"/>
      <c r="CY41" s="47"/>
      <c r="CZ41" s="47"/>
      <c r="DA41" s="30"/>
      <c r="DB41" s="30"/>
      <c r="DC41" s="30"/>
      <c r="DD41" s="30"/>
      <c r="DE41" s="125"/>
      <c r="DF41" s="29"/>
    </row>
    <row r="42" spans="1:110" ht="5.0999999999999996" customHeight="1" x14ac:dyDescent="0.25">
      <c r="A42" s="34"/>
      <c r="B42" s="169"/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69"/>
      <c r="S42" s="169"/>
      <c r="T42" s="169"/>
      <c r="U42" s="169"/>
      <c r="V42" s="169"/>
      <c r="W42" s="169"/>
      <c r="X42" s="169"/>
      <c r="Y42" s="169"/>
      <c r="Z42" s="169"/>
      <c r="AA42" s="169"/>
      <c r="AB42" s="169"/>
      <c r="AC42" s="169"/>
      <c r="AD42" s="169"/>
      <c r="AE42" s="169"/>
      <c r="AF42" s="169"/>
      <c r="AG42" s="169"/>
      <c r="AH42" s="169"/>
      <c r="AI42" s="169"/>
      <c r="AJ42" s="169"/>
      <c r="AK42" s="169"/>
      <c r="AL42" s="169"/>
      <c r="AM42" s="169"/>
      <c r="AN42" s="169"/>
      <c r="AO42" s="169"/>
      <c r="AP42" s="169"/>
      <c r="AQ42" s="169"/>
      <c r="AR42" s="169"/>
      <c r="AS42" s="169"/>
      <c r="AT42" s="169"/>
      <c r="AU42" s="169"/>
      <c r="AV42" s="169"/>
      <c r="AW42" s="169"/>
      <c r="AX42" s="169"/>
      <c r="AY42" s="169"/>
      <c r="AZ42" s="169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136"/>
      <c r="CG42" s="136"/>
      <c r="CH42" s="136"/>
      <c r="CI42" s="136"/>
      <c r="CJ42" s="136"/>
      <c r="CK42" s="136"/>
      <c r="CL42" s="136"/>
      <c r="CM42" s="136"/>
      <c r="CN42" s="136"/>
      <c r="CO42" s="136"/>
      <c r="CP42" s="136"/>
      <c r="CQ42" s="136"/>
      <c r="CR42" s="136"/>
      <c r="CS42" s="136"/>
      <c r="CT42" s="136"/>
      <c r="CU42" s="136"/>
      <c r="CV42" s="136"/>
      <c r="CW42" s="136"/>
      <c r="CX42" s="136"/>
      <c r="CY42" s="136"/>
      <c r="CZ42" s="136"/>
      <c r="DA42" s="30"/>
      <c r="DB42" s="30"/>
      <c r="DC42" s="30"/>
      <c r="DD42" s="30"/>
      <c r="DE42" s="125"/>
      <c r="DF42" s="29"/>
    </row>
    <row r="43" spans="1:110" ht="5.0999999999999996" customHeight="1" x14ac:dyDescent="0.25">
      <c r="A43" s="34"/>
      <c r="B43" s="169" t="str">
        <f>IF(LEN(TRIM('4 доп.сведения'!B27))=0," ",'4 доп.сведения'!B27)</f>
        <v xml:space="preserve"> </v>
      </c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69"/>
      <c r="R43" s="169"/>
      <c r="S43" s="169"/>
      <c r="T43" s="169"/>
      <c r="U43" s="169"/>
      <c r="V43" s="169"/>
      <c r="W43" s="169"/>
      <c r="X43" s="169"/>
      <c r="Y43" s="169"/>
      <c r="Z43" s="169"/>
      <c r="AA43" s="169"/>
      <c r="AB43" s="169"/>
      <c r="AC43" s="169"/>
      <c r="AD43" s="169"/>
      <c r="AE43" s="169"/>
      <c r="AF43" s="169"/>
      <c r="AG43" s="169"/>
      <c r="AH43" s="169"/>
      <c r="AI43" s="169"/>
      <c r="AJ43" s="169"/>
      <c r="AK43" s="169"/>
      <c r="AL43" s="169"/>
      <c r="AM43" s="169"/>
      <c r="AN43" s="169"/>
      <c r="AO43" s="169"/>
      <c r="AP43" s="169"/>
      <c r="AQ43" s="169"/>
      <c r="AR43" s="169"/>
      <c r="AS43" s="169"/>
      <c r="AT43" s="169"/>
      <c r="AU43" s="169"/>
      <c r="AV43" s="169"/>
      <c r="AW43" s="169"/>
      <c r="AX43" s="169"/>
      <c r="AY43" s="169"/>
      <c r="AZ43" s="169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136"/>
      <c r="CG43" s="136"/>
      <c r="CH43" s="136"/>
      <c r="CI43" s="136"/>
      <c r="CJ43" s="136"/>
      <c r="CK43" s="136"/>
      <c r="CL43" s="136"/>
      <c r="CM43" s="136"/>
      <c r="CN43" s="136"/>
      <c r="CO43" s="136"/>
      <c r="CP43" s="136"/>
      <c r="CQ43" s="136"/>
      <c r="CR43" s="136"/>
      <c r="CS43" s="136"/>
      <c r="CT43" s="136"/>
      <c r="CU43" s="136"/>
      <c r="CV43" s="136"/>
      <c r="CW43" s="136"/>
      <c r="CX43" s="136"/>
      <c r="CY43" s="136"/>
      <c r="CZ43" s="136"/>
      <c r="DA43" s="30"/>
      <c r="DB43" s="30"/>
      <c r="DC43" s="30"/>
      <c r="DD43" s="30"/>
      <c r="DE43" s="125"/>
      <c r="DF43" s="29"/>
    </row>
    <row r="44" spans="1:110" ht="5.0999999999999996" customHeight="1" x14ac:dyDescent="0.25">
      <c r="A44" s="34"/>
      <c r="B44" s="169"/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  <c r="AF44" s="169"/>
      <c r="AG44" s="169"/>
      <c r="AH44" s="169"/>
      <c r="AI44" s="169"/>
      <c r="AJ44" s="169"/>
      <c r="AK44" s="169"/>
      <c r="AL44" s="169"/>
      <c r="AM44" s="169"/>
      <c r="AN44" s="169"/>
      <c r="AO44" s="169"/>
      <c r="AP44" s="169"/>
      <c r="AQ44" s="169"/>
      <c r="AR44" s="169"/>
      <c r="AS44" s="169"/>
      <c r="AT44" s="169"/>
      <c r="AU44" s="169"/>
      <c r="AV44" s="169"/>
      <c r="AW44" s="169"/>
      <c r="AX44" s="169"/>
      <c r="AY44" s="169"/>
      <c r="AZ44" s="169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136"/>
      <c r="CG44" s="136"/>
      <c r="CH44" s="136"/>
      <c r="CI44" s="136"/>
      <c r="CJ44" s="136"/>
      <c r="CK44" s="136"/>
      <c r="CL44" s="136"/>
      <c r="CM44" s="136"/>
      <c r="CN44" s="136"/>
      <c r="CO44" s="136"/>
      <c r="CP44" s="136"/>
      <c r="CQ44" s="136"/>
      <c r="CR44" s="136"/>
      <c r="CS44" s="136"/>
      <c r="CT44" s="136"/>
      <c r="CU44" s="136"/>
      <c r="CV44" s="136"/>
      <c r="CW44" s="136"/>
      <c r="CX44" s="136"/>
      <c r="CY44" s="136"/>
      <c r="CZ44" s="136"/>
      <c r="DA44" s="30"/>
      <c r="DB44" s="30"/>
      <c r="DC44" s="30"/>
      <c r="DD44" s="30"/>
      <c r="DE44" s="125"/>
      <c r="DF44" s="29"/>
    </row>
    <row r="45" spans="1:110" ht="5.0999999999999996" customHeight="1" x14ac:dyDescent="0.25">
      <c r="A45" s="34"/>
      <c r="B45" s="169"/>
      <c r="C45" s="169"/>
      <c r="D45" s="169"/>
      <c r="E45" s="169"/>
      <c r="F45" s="169"/>
      <c r="G45" s="169"/>
      <c r="H45" s="169"/>
      <c r="I45" s="169"/>
      <c r="J45" s="169"/>
      <c r="K45" s="169"/>
      <c r="L45" s="169"/>
      <c r="M45" s="169"/>
      <c r="N45" s="169"/>
      <c r="O45" s="169"/>
      <c r="P45" s="169"/>
      <c r="Q45" s="169"/>
      <c r="R45" s="169"/>
      <c r="S45" s="169"/>
      <c r="T45" s="169"/>
      <c r="U45" s="169"/>
      <c r="V45" s="169"/>
      <c r="W45" s="169"/>
      <c r="X45" s="169"/>
      <c r="Y45" s="169"/>
      <c r="Z45" s="169"/>
      <c r="AA45" s="169"/>
      <c r="AB45" s="169"/>
      <c r="AC45" s="169"/>
      <c r="AD45" s="169"/>
      <c r="AE45" s="169"/>
      <c r="AF45" s="169"/>
      <c r="AG45" s="169"/>
      <c r="AH45" s="169"/>
      <c r="AI45" s="169"/>
      <c r="AJ45" s="169"/>
      <c r="AK45" s="169"/>
      <c r="AL45" s="169"/>
      <c r="AM45" s="169"/>
      <c r="AN45" s="169"/>
      <c r="AO45" s="169"/>
      <c r="AP45" s="169"/>
      <c r="AQ45" s="169"/>
      <c r="AR45" s="169"/>
      <c r="AS45" s="169"/>
      <c r="AT45" s="169"/>
      <c r="AU45" s="169"/>
      <c r="AV45" s="169"/>
      <c r="AW45" s="169"/>
      <c r="AX45" s="169"/>
      <c r="AY45" s="169"/>
      <c r="AZ45" s="169"/>
      <c r="BA45" s="30"/>
      <c r="BB45" s="30"/>
      <c r="BC45" s="30"/>
      <c r="BD45" s="30"/>
      <c r="BE45" s="173" t="str">
        <f>Диплом!B2</f>
        <v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v>
      </c>
      <c r="BF45" s="173"/>
      <c r="BG45" s="173"/>
      <c r="BH45" s="173"/>
      <c r="BI45" s="173"/>
      <c r="BJ45" s="173"/>
      <c r="BK45" s="173"/>
      <c r="BL45" s="173"/>
      <c r="BM45" s="173"/>
      <c r="BN45" s="173"/>
      <c r="BO45" s="173"/>
      <c r="BP45" s="173"/>
      <c r="BQ45" s="173"/>
      <c r="BR45" s="173"/>
      <c r="BS45" s="173"/>
      <c r="BT45" s="173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136"/>
      <c r="CG45" s="136"/>
      <c r="CH45" s="136"/>
      <c r="CI45" s="136"/>
      <c r="CJ45" s="136"/>
      <c r="CK45" s="136"/>
      <c r="CL45" s="136"/>
      <c r="CM45" s="136"/>
      <c r="CN45" s="136"/>
      <c r="CO45" s="136"/>
      <c r="CP45" s="136"/>
      <c r="CQ45" s="136"/>
      <c r="CR45" s="136"/>
      <c r="CS45" s="136"/>
      <c r="CT45" s="136"/>
      <c r="CU45" s="136"/>
      <c r="CV45" s="136"/>
      <c r="CW45" s="136"/>
      <c r="CX45" s="136"/>
      <c r="CY45" s="136"/>
      <c r="CZ45" s="136"/>
      <c r="DA45" s="30"/>
      <c r="DB45" s="30"/>
      <c r="DC45" s="30"/>
      <c r="DD45" s="30"/>
      <c r="DE45" s="125"/>
      <c r="DF45" s="29"/>
    </row>
    <row r="46" spans="1:110" ht="5.0999999999999996" customHeight="1" x14ac:dyDescent="0.3">
      <c r="A46" s="30"/>
      <c r="B46" s="30"/>
      <c r="C46" s="168" t="str">
        <f>IF(LEN(TRIM('4 доп.сведения'!B30))=0," ",'4 доп.сведения'!B30)</f>
        <v xml:space="preserve"> </v>
      </c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8"/>
      <c r="W46" s="168"/>
      <c r="X46" s="168"/>
      <c r="Y46" s="168"/>
      <c r="Z46" s="168"/>
      <c r="AA46" s="168"/>
      <c r="AB46" s="168"/>
      <c r="AC46" s="168"/>
      <c r="AD46" s="168"/>
      <c r="AE46" s="168"/>
      <c r="AF46" s="168"/>
      <c r="AG46" s="168"/>
      <c r="AH46" s="168"/>
      <c r="AI46" s="168"/>
      <c r="AJ46" s="168"/>
      <c r="AK46" s="168"/>
      <c r="AL46" s="168"/>
      <c r="AM46" s="168"/>
      <c r="AN46" s="168"/>
      <c r="AO46" s="168"/>
      <c r="AP46" s="168"/>
      <c r="AQ46" s="168"/>
      <c r="AR46" s="168"/>
      <c r="AS46" s="168"/>
      <c r="AT46" s="168"/>
      <c r="AU46" s="168"/>
      <c r="AV46" s="168"/>
      <c r="AW46" s="168"/>
      <c r="AX46" s="168"/>
      <c r="AY46" s="168"/>
      <c r="AZ46" s="168"/>
      <c r="BA46" s="30"/>
      <c r="BB46" s="30"/>
      <c r="BC46" s="30"/>
      <c r="BD46" s="30"/>
      <c r="BE46" s="173"/>
      <c r="BF46" s="173"/>
      <c r="BG46" s="173"/>
      <c r="BH46" s="173"/>
      <c r="BI46" s="173"/>
      <c r="BJ46" s="173"/>
      <c r="BK46" s="173"/>
      <c r="BL46" s="173"/>
      <c r="BM46" s="173"/>
      <c r="BN46" s="173"/>
      <c r="BO46" s="173"/>
      <c r="BP46" s="173"/>
      <c r="BQ46" s="173"/>
      <c r="BR46" s="173"/>
      <c r="BS46" s="173"/>
      <c r="BT46" s="173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139"/>
      <c r="CG46" s="139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A46" s="32"/>
      <c r="DB46" s="32"/>
      <c r="DC46" s="32"/>
      <c r="DD46" s="30"/>
      <c r="DE46" s="125"/>
      <c r="DF46" s="29"/>
    </row>
    <row r="47" spans="1:110" ht="5.0999999999999996" customHeight="1" x14ac:dyDescent="0.25">
      <c r="A47" s="34"/>
      <c r="B47" s="34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8"/>
      <c r="AB47" s="168"/>
      <c r="AC47" s="168"/>
      <c r="AD47" s="168"/>
      <c r="AE47" s="168"/>
      <c r="AF47" s="168"/>
      <c r="AG47" s="168"/>
      <c r="AH47" s="168"/>
      <c r="AI47" s="168"/>
      <c r="AJ47" s="168"/>
      <c r="AK47" s="168"/>
      <c r="AL47" s="168"/>
      <c r="AM47" s="168"/>
      <c r="AN47" s="168"/>
      <c r="AO47" s="168"/>
      <c r="AP47" s="168"/>
      <c r="AQ47" s="168"/>
      <c r="AR47" s="168"/>
      <c r="AS47" s="168"/>
      <c r="AT47" s="168"/>
      <c r="AU47" s="168"/>
      <c r="AV47" s="168"/>
      <c r="AW47" s="168"/>
      <c r="AX47" s="168"/>
      <c r="AY47" s="168"/>
      <c r="AZ47" s="168"/>
      <c r="BA47" s="30"/>
      <c r="BB47" s="30"/>
      <c r="BC47" s="30"/>
      <c r="BD47" s="30"/>
      <c r="BE47" s="173"/>
      <c r="BF47" s="173"/>
      <c r="BG47" s="173"/>
      <c r="BH47" s="173"/>
      <c r="BI47" s="173"/>
      <c r="BJ47" s="173"/>
      <c r="BK47" s="173"/>
      <c r="BL47" s="173"/>
      <c r="BM47" s="173"/>
      <c r="BN47" s="173"/>
      <c r="BO47" s="173"/>
      <c r="BP47" s="173"/>
      <c r="BQ47" s="173"/>
      <c r="BR47" s="173"/>
      <c r="BS47" s="173"/>
      <c r="BT47" s="173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47"/>
      <c r="CG47" s="47"/>
      <c r="CH47" s="47"/>
      <c r="CI47" s="47"/>
      <c r="CJ47" s="47"/>
      <c r="CK47" s="47"/>
      <c r="CL47" s="47"/>
      <c r="CM47" s="47"/>
      <c r="CN47" s="47"/>
      <c r="CO47" s="47"/>
      <c r="CP47" s="47"/>
      <c r="CQ47" s="47"/>
      <c r="CR47" s="47"/>
      <c r="CS47" s="47"/>
      <c r="CT47" s="47"/>
      <c r="CU47" s="47"/>
      <c r="CV47" s="47"/>
      <c r="CW47" s="47"/>
      <c r="CX47" s="47"/>
      <c r="CY47" s="47"/>
      <c r="CZ47" s="47"/>
      <c r="DA47" s="30"/>
      <c r="DB47" s="30"/>
      <c r="DC47" s="30"/>
      <c r="DD47" s="30"/>
      <c r="DE47" s="125"/>
      <c r="DF47" s="29"/>
    </row>
    <row r="48" spans="1:110" ht="5.0999999999999996" customHeight="1" x14ac:dyDescent="0.25">
      <c r="A48" s="34"/>
      <c r="B48" s="34"/>
      <c r="C48" s="168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168"/>
      <c r="AA48" s="168"/>
      <c r="AB48" s="168"/>
      <c r="AC48" s="168"/>
      <c r="AD48" s="168"/>
      <c r="AE48" s="168"/>
      <c r="AF48" s="168"/>
      <c r="AG48" s="168"/>
      <c r="AH48" s="168"/>
      <c r="AI48" s="168"/>
      <c r="AJ48" s="168"/>
      <c r="AK48" s="168"/>
      <c r="AL48" s="168"/>
      <c r="AM48" s="168"/>
      <c r="AN48" s="168"/>
      <c r="AO48" s="168"/>
      <c r="AP48" s="168"/>
      <c r="AQ48" s="168"/>
      <c r="AR48" s="168"/>
      <c r="AS48" s="168"/>
      <c r="AT48" s="168"/>
      <c r="AU48" s="168"/>
      <c r="AV48" s="168"/>
      <c r="AW48" s="168"/>
      <c r="AX48" s="168"/>
      <c r="AY48" s="168"/>
      <c r="AZ48" s="168"/>
      <c r="BA48" s="30"/>
      <c r="BB48" s="30"/>
      <c r="BC48" s="30"/>
      <c r="BD48" s="30"/>
      <c r="BE48" s="173"/>
      <c r="BF48" s="173"/>
      <c r="BG48" s="173"/>
      <c r="BH48" s="173"/>
      <c r="BI48" s="173"/>
      <c r="BJ48" s="173"/>
      <c r="BK48" s="173"/>
      <c r="BL48" s="173"/>
      <c r="BM48" s="173"/>
      <c r="BN48" s="173"/>
      <c r="BO48" s="173"/>
      <c r="BP48" s="173"/>
      <c r="BQ48" s="173"/>
      <c r="BR48" s="173"/>
      <c r="BS48" s="173"/>
      <c r="BT48" s="173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47"/>
      <c r="CG48" s="47"/>
      <c r="CH48" s="47"/>
      <c r="CI48" s="47"/>
      <c r="CJ48" s="47"/>
      <c r="CK48" s="47"/>
      <c r="CL48" s="47"/>
      <c r="CM48" s="47"/>
      <c r="CN48" s="47"/>
      <c r="CO48" s="47"/>
      <c r="CP48" s="47"/>
      <c r="CQ48" s="47"/>
      <c r="CR48" s="47"/>
      <c r="CS48" s="47"/>
      <c r="CT48" s="47"/>
      <c r="CU48" s="47"/>
      <c r="CV48" s="47"/>
      <c r="CW48" s="47"/>
      <c r="CX48" s="47"/>
      <c r="CY48" s="47"/>
      <c r="CZ48" s="47"/>
      <c r="DA48" s="122"/>
      <c r="DB48" s="122"/>
      <c r="DC48" s="122"/>
      <c r="DD48" s="30"/>
      <c r="DE48" s="125"/>
      <c r="DF48" s="29"/>
    </row>
    <row r="49" spans="1:110" ht="5.0999999999999996" customHeight="1" x14ac:dyDescent="0.25">
      <c r="A49" s="34"/>
      <c r="B49" s="34"/>
      <c r="C49" s="168" t="str">
        <f>IF(LEN(TRIM('4 доп.сведения'!B33))=0," ",'4 доп.сведения'!B33)</f>
        <v xml:space="preserve"> </v>
      </c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  <c r="AA49" s="168"/>
      <c r="AB49" s="168"/>
      <c r="AC49" s="168"/>
      <c r="AD49" s="168"/>
      <c r="AE49" s="168"/>
      <c r="AF49" s="168"/>
      <c r="AG49" s="168"/>
      <c r="AH49" s="168"/>
      <c r="AI49" s="168"/>
      <c r="AJ49" s="168"/>
      <c r="AK49" s="168"/>
      <c r="AL49" s="168"/>
      <c r="AM49" s="168"/>
      <c r="AN49" s="168"/>
      <c r="AO49" s="168"/>
      <c r="AP49" s="168"/>
      <c r="AQ49" s="168"/>
      <c r="AR49" s="168"/>
      <c r="AS49" s="168"/>
      <c r="AT49" s="168"/>
      <c r="AU49" s="168"/>
      <c r="AV49" s="168"/>
      <c r="AW49" s="168"/>
      <c r="AX49" s="168"/>
      <c r="AY49" s="168"/>
      <c r="AZ49" s="168"/>
      <c r="BA49" s="30"/>
      <c r="BB49" s="30"/>
      <c r="BC49" s="30"/>
      <c r="BD49" s="30"/>
      <c r="BE49" s="173"/>
      <c r="BF49" s="173"/>
      <c r="BG49" s="173"/>
      <c r="BH49" s="173"/>
      <c r="BI49" s="173"/>
      <c r="BJ49" s="173"/>
      <c r="BK49" s="173"/>
      <c r="BL49" s="173"/>
      <c r="BM49" s="173"/>
      <c r="BN49" s="173"/>
      <c r="BO49" s="173"/>
      <c r="BP49" s="173"/>
      <c r="BQ49" s="173"/>
      <c r="BR49" s="173"/>
      <c r="BS49" s="173"/>
      <c r="BT49" s="173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170" t="str">
        <f>'1 Обладатель диплома'!B5</f>
        <v>Отчество</v>
      </c>
      <c r="CG49" s="170"/>
      <c r="CH49" s="170"/>
      <c r="CI49" s="170"/>
      <c r="CJ49" s="170"/>
      <c r="CK49" s="170"/>
      <c r="CL49" s="170"/>
      <c r="CM49" s="170"/>
      <c r="CN49" s="170"/>
      <c r="CO49" s="170"/>
      <c r="CP49" s="170"/>
      <c r="CQ49" s="170"/>
      <c r="CR49" s="170"/>
      <c r="CS49" s="170"/>
      <c r="CT49" s="170"/>
      <c r="CU49" s="170"/>
      <c r="CV49" s="170"/>
      <c r="CW49" s="170"/>
      <c r="CX49" s="170"/>
      <c r="CY49" s="170"/>
      <c r="CZ49" s="170"/>
      <c r="DA49" s="37"/>
      <c r="DB49" s="37"/>
      <c r="DC49" s="37"/>
      <c r="DD49" s="30"/>
      <c r="DE49" s="125"/>
      <c r="DF49" s="29"/>
    </row>
    <row r="50" spans="1:110" ht="5.25" customHeight="1" x14ac:dyDescent="0.3">
      <c r="A50" s="30"/>
      <c r="B50" s="30"/>
      <c r="C50" s="168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X50" s="168"/>
      <c r="Y50" s="168"/>
      <c r="Z50" s="168"/>
      <c r="AA50" s="168"/>
      <c r="AB50" s="168"/>
      <c r="AC50" s="168"/>
      <c r="AD50" s="168"/>
      <c r="AE50" s="168"/>
      <c r="AF50" s="168"/>
      <c r="AG50" s="168"/>
      <c r="AH50" s="168"/>
      <c r="AI50" s="168"/>
      <c r="AJ50" s="168"/>
      <c r="AK50" s="168"/>
      <c r="AL50" s="168"/>
      <c r="AM50" s="168"/>
      <c r="AN50" s="168"/>
      <c r="AO50" s="168"/>
      <c r="AP50" s="168"/>
      <c r="AQ50" s="168"/>
      <c r="AR50" s="168"/>
      <c r="AS50" s="168"/>
      <c r="AT50" s="168"/>
      <c r="AU50" s="168"/>
      <c r="AV50" s="168"/>
      <c r="AW50" s="168"/>
      <c r="AX50" s="168"/>
      <c r="AY50" s="168"/>
      <c r="AZ50" s="168"/>
      <c r="BA50" s="30"/>
      <c r="BB50" s="30"/>
      <c r="BC50" s="30"/>
      <c r="BD50" s="30"/>
      <c r="BE50" s="173"/>
      <c r="BF50" s="173"/>
      <c r="BG50" s="173"/>
      <c r="BH50" s="173"/>
      <c r="BI50" s="173"/>
      <c r="BJ50" s="173"/>
      <c r="BK50" s="173"/>
      <c r="BL50" s="173"/>
      <c r="BM50" s="173"/>
      <c r="BN50" s="173"/>
      <c r="BO50" s="173"/>
      <c r="BP50" s="173"/>
      <c r="BQ50" s="173"/>
      <c r="BR50" s="173"/>
      <c r="BS50" s="173"/>
      <c r="BT50" s="173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170"/>
      <c r="CG50" s="170"/>
      <c r="CH50" s="170"/>
      <c r="CI50" s="170"/>
      <c r="CJ50" s="170"/>
      <c r="CK50" s="170"/>
      <c r="CL50" s="170"/>
      <c r="CM50" s="170"/>
      <c r="CN50" s="170"/>
      <c r="CO50" s="170"/>
      <c r="CP50" s="170"/>
      <c r="CQ50" s="170"/>
      <c r="CR50" s="170"/>
      <c r="CS50" s="170"/>
      <c r="CT50" s="170"/>
      <c r="CU50" s="170"/>
      <c r="CV50" s="170"/>
      <c r="CW50" s="170"/>
      <c r="CX50" s="170"/>
      <c r="CY50" s="170"/>
      <c r="CZ50" s="170"/>
      <c r="DA50" s="32"/>
      <c r="DB50" s="32"/>
      <c r="DC50" s="32"/>
      <c r="DD50" s="30"/>
      <c r="DE50" s="125"/>
      <c r="DF50" s="29"/>
    </row>
    <row r="51" spans="1:110" ht="5.0999999999999996" customHeight="1" x14ac:dyDescent="0.25">
      <c r="A51" s="34"/>
      <c r="B51" s="34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  <c r="Z51" s="168"/>
      <c r="AA51" s="168"/>
      <c r="AB51" s="168"/>
      <c r="AC51" s="168"/>
      <c r="AD51" s="168"/>
      <c r="AE51" s="168"/>
      <c r="AF51" s="168"/>
      <c r="AG51" s="168"/>
      <c r="AH51" s="168"/>
      <c r="AI51" s="168"/>
      <c r="AJ51" s="168"/>
      <c r="AK51" s="168"/>
      <c r="AL51" s="168"/>
      <c r="AM51" s="168"/>
      <c r="AN51" s="168"/>
      <c r="AO51" s="168"/>
      <c r="AP51" s="168"/>
      <c r="AQ51" s="168"/>
      <c r="AR51" s="168"/>
      <c r="AS51" s="168"/>
      <c r="AT51" s="168"/>
      <c r="AU51" s="168"/>
      <c r="AV51" s="168"/>
      <c r="AW51" s="168"/>
      <c r="AX51" s="168"/>
      <c r="AY51" s="168"/>
      <c r="AZ51" s="168"/>
      <c r="BA51" s="30"/>
      <c r="BB51" s="30"/>
      <c r="BC51" s="30"/>
      <c r="BD51" s="30"/>
      <c r="BE51" s="173"/>
      <c r="BF51" s="173"/>
      <c r="BG51" s="173"/>
      <c r="BH51" s="173"/>
      <c r="BI51" s="173"/>
      <c r="BJ51" s="173"/>
      <c r="BK51" s="173"/>
      <c r="BL51" s="173"/>
      <c r="BM51" s="173"/>
      <c r="BN51" s="173"/>
      <c r="BO51" s="173"/>
      <c r="BP51" s="173"/>
      <c r="BQ51" s="173"/>
      <c r="BR51" s="173"/>
      <c r="BS51" s="173"/>
      <c r="BT51" s="173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170"/>
      <c r="CG51" s="170"/>
      <c r="CH51" s="170"/>
      <c r="CI51" s="170"/>
      <c r="CJ51" s="170"/>
      <c r="CK51" s="170"/>
      <c r="CL51" s="170"/>
      <c r="CM51" s="170"/>
      <c r="CN51" s="170"/>
      <c r="CO51" s="170"/>
      <c r="CP51" s="170"/>
      <c r="CQ51" s="170"/>
      <c r="CR51" s="170"/>
      <c r="CS51" s="170"/>
      <c r="CT51" s="170"/>
      <c r="CU51" s="170"/>
      <c r="CV51" s="170"/>
      <c r="CW51" s="170"/>
      <c r="CX51" s="170"/>
      <c r="CY51" s="170"/>
      <c r="CZ51" s="170"/>
      <c r="DA51" s="37"/>
      <c r="DB51" s="37"/>
      <c r="DC51" s="37"/>
      <c r="DD51" s="30"/>
      <c r="DE51" s="125"/>
      <c r="DF51" s="29"/>
    </row>
    <row r="52" spans="1:110" ht="5.0999999999999996" customHeight="1" x14ac:dyDescent="0.25">
      <c r="A52" s="34"/>
      <c r="B52" s="34"/>
      <c r="C52" s="170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  <c r="AA52" s="170"/>
      <c r="AB52" s="170"/>
      <c r="AC52" s="170"/>
      <c r="AD52" s="170"/>
      <c r="AE52" s="170"/>
      <c r="AF52" s="170"/>
      <c r="AG52" s="170"/>
      <c r="AH52" s="170"/>
      <c r="AI52" s="170"/>
      <c r="AJ52" s="170"/>
      <c r="AK52" s="170"/>
      <c r="AL52" s="170"/>
      <c r="AM52" s="170"/>
      <c r="AN52" s="170"/>
      <c r="AO52" s="170"/>
      <c r="AP52" s="170"/>
      <c r="AQ52" s="170"/>
      <c r="AR52" s="170"/>
      <c r="AS52" s="170"/>
      <c r="AT52" s="170"/>
      <c r="AU52" s="170"/>
      <c r="AV52" s="170"/>
      <c r="AW52" s="170"/>
      <c r="AX52" s="170"/>
      <c r="AY52" s="170"/>
      <c r="AZ52" s="170"/>
      <c r="BA52" s="30"/>
      <c r="BB52" s="30"/>
      <c r="BC52" s="30"/>
      <c r="BD52" s="30"/>
      <c r="BE52" s="173"/>
      <c r="BF52" s="173"/>
      <c r="BG52" s="173"/>
      <c r="BH52" s="173"/>
      <c r="BI52" s="173"/>
      <c r="BJ52" s="173"/>
      <c r="BK52" s="173"/>
      <c r="BL52" s="173"/>
      <c r="BM52" s="173"/>
      <c r="BN52" s="173"/>
      <c r="BO52" s="173"/>
      <c r="BP52" s="173"/>
      <c r="BQ52" s="173"/>
      <c r="BR52" s="173"/>
      <c r="BS52" s="173"/>
      <c r="BT52" s="173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170"/>
      <c r="CG52" s="170"/>
      <c r="CH52" s="170"/>
      <c r="CI52" s="170"/>
      <c r="CJ52" s="170"/>
      <c r="CK52" s="170"/>
      <c r="CL52" s="170"/>
      <c r="CM52" s="170"/>
      <c r="CN52" s="170"/>
      <c r="CO52" s="170"/>
      <c r="CP52" s="170"/>
      <c r="CQ52" s="170"/>
      <c r="CR52" s="170"/>
      <c r="CS52" s="170"/>
      <c r="CT52" s="170"/>
      <c r="CU52" s="170"/>
      <c r="CV52" s="170"/>
      <c r="CW52" s="170"/>
      <c r="CX52" s="170"/>
      <c r="CY52" s="170"/>
      <c r="CZ52" s="170"/>
      <c r="DA52" s="37"/>
      <c r="DB52" s="37"/>
      <c r="DC52" s="37"/>
      <c r="DD52" s="30"/>
      <c r="DE52" s="125"/>
      <c r="DF52" s="29"/>
    </row>
    <row r="53" spans="1:110" ht="5.0999999999999996" customHeight="1" x14ac:dyDescent="0.25">
      <c r="A53" s="34"/>
      <c r="B53" s="34"/>
      <c r="C53" s="170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  <c r="AA53" s="170"/>
      <c r="AB53" s="170"/>
      <c r="AC53" s="170"/>
      <c r="AD53" s="170"/>
      <c r="AE53" s="170"/>
      <c r="AF53" s="170"/>
      <c r="AG53" s="170"/>
      <c r="AH53" s="170"/>
      <c r="AI53" s="170"/>
      <c r="AJ53" s="170"/>
      <c r="AK53" s="170"/>
      <c r="AL53" s="170"/>
      <c r="AM53" s="170"/>
      <c r="AN53" s="170"/>
      <c r="AO53" s="170"/>
      <c r="AP53" s="170"/>
      <c r="AQ53" s="170"/>
      <c r="AR53" s="170"/>
      <c r="AS53" s="170"/>
      <c r="AT53" s="170"/>
      <c r="AU53" s="170"/>
      <c r="AV53" s="170"/>
      <c r="AW53" s="170"/>
      <c r="AX53" s="170"/>
      <c r="AY53" s="170"/>
      <c r="AZ53" s="170"/>
      <c r="BA53" s="30"/>
      <c r="BB53" s="30"/>
      <c r="BC53" s="30"/>
      <c r="BD53" s="30"/>
      <c r="BE53" s="173"/>
      <c r="BF53" s="173"/>
      <c r="BG53" s="173"/>
      <c r="BH53" s="173"/>
      <c r="BI53" s="173"/>
      <c r="BJ53" s="173"/>
      <c r="BK53" s="173"/>
      <c r="BL53" s="173"/>
      <c r="BM53" s="173"/>
      <c r="BN53" s="173"/>
      <c r="BO53" s="173"/>
      <c r="BP53" s="173"/>
      <c r="BQ53" s="173"/>
      <c r="BR53" s="173"/>
      <c r="BS53" s="173"/>
      <c r="BT53" s="173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136"/>
      <c r="CG53" s="136"/>
      <c r="CH53" s="136"/>
      <c r="CI53" s="136"/>
      <c r="CJ53" s="136"/>
      <c r="CK53" s="136"/>
      <c r="CL53" s="136"/>
      <c r="CM53" s="136"/>
      <c r="CN53" s="136"/>
      <c r="CO53" s="136"/>
      <c r="CP53" s="136"/>
      <c r="CQ53" s="136"/>
      <c r="CR53" s="136"/>
      <c r="CS53" s="136"/>
      <c r="CT53" s="136"/>
      <c r="CU53" s="136"/>
      <c r="CV53" s="136"/>
      <c r="CW53" s="136"/>
      <c r="CX53" s="136"/>
      <c r="CY53" s="136"/>
      <c r="CZ53" s="136"/>
      <c r="DA53" s="37"/>
      <c r="DB53" s="37"/>
      <c r="DC53" s="37"/>
      <c r="DD53" s="30"/>
      <c r="DE53" s="125"/>
      <c r="DF53" s="29"/>
    </row>
    <row r="54" spans="1:110" ht="5.0999999999999996" customHeight="1" x14ac:dyDescent="0.25">
      <c r="A54" s="34"/>
      <c r="B54" s="34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  <c r="AA54" s="170"/>
      <c r="AB54" s="170"/>
      <c r="AC54" s="170"/>
      <c r="AD54" s="170"/>
      <c r="AE54" s="170"/>
      <c r="AF54" s="170"/>
      <c r="AG54" s="170"/>
      <c r="AH54" s="170"/>
      <c r="AI54" s="170"/>
      <c r="AJ54" s="170"/>
      <c r="AK54" s="170"/>
      <c r="AL54" s="170"/>
      <c r="AM54" s="170"/>
      <c r="AN54" s="170"/>
      <c r="AO54" s="170"/>
      <c r="AP54" s="170"/>
      <c r="AQ54" s="170"/>
      <c r="AR54" s="170"/>
      <c r="AS54" s="170"/>
      <c r="AT54" s="170"/>
      <c r="AU54" s="170"/>
      <c r="AV54" s="170"/>
      <c r="AW54" s="170"/>
      <c r="AX54" s="170"/>
      <c r="AY54" s="170"/>
      <c r="AZ54" s="170"/>
      <c r="BA54" s="30"/>
      <c r="BB54" s="30"/>
      <c r="BC54" s="30"/>
      <c r="BD54" s="30"/>
      <c r="BE54" s="173"/>
      <c r="BF54" s="173"/>
      <c r="BG54" s="173"/>
      <c r="BH54" s="173"/>
      <c r="BI54" s="173"/>
      <c r="BJ54" s="173"/>
      <c r="BK54" s="173"/>
      <c r="BL54" s="173"/>
      <c r="BM54" s="173"/>
      <c r="BN54" s="173"/>
      <c r="BO54" s="173"/>
      <c r="BP54" s="173"/>
      <c r="BQ54" s="173"/>
      <c r="BR54" s="173"/>
      <c r="BS54" s="173"/>
      <c r="BT54" s="173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144"/>
      <c r="CG54" s="144"/>
      <c r="CH54" s="144"/>
      <c r="CI54" s="144"/>
      <c r="CJ54" s="144"/>
      <c r="CK54" s="144"/>
      <c r="CL54" s="144"/>
      <c r="CM54" s="144"/>
      <c r="CN54" s="144"/>
      <c r="CO54" s="144"/>
      <c r="CP54" s="144"/>
      <c r="CQ54" s="144"/>
      <c r="CR54" s="144"/>
      <c r="CS54" s="144"/>
      <c r="CT54" s="144"/>
      <c r="CU54" s="144"/>
      <c r="CV54" s="144"/>
      <c r="CW54" s="144"/>
      <c r="CX54" s="144"/>
      <c r="CY54" s="144"/>
      <c r="CZ54" s="144"/>
      <c r="DA54" s="144"/>
      <c r="DB54" s="37"/>
      <c r="DC54" s="37"/>
      <c r="DD54" s="30"/>
      <c r="DE54" s="125"/>
      <c r="DF54" s="29"/>
    </row>
    <row r="55" spans="1:110" ht="5.0999999999999996" customHeight="1" x14ac:dyDescent="0.25">
      <c r="A55" s="34"/>
      <c r="B55" s="34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  <c r="AA55" s="170"/>
      <c r="AB55" s="170"/>
      <c r="AC55" s="170"/>
      <c r="AD55" s="170"/>
      <c r="AE55" s="170"/>
      <c r="AF55" s="170"/>
      <c r="AG55" s="170"/>
      <c r="AH55" s="170"/>
      <c r="AI55" s="170"/>
      <c r="AJ55" s="170"/>
      <c r="AK55" s="170"/>
      <c r="AL55" s="170"/>
      <c r="AM55" s="170"/>
      <c r="AN55" s="170"/>
      <c r="AO55" s="170"/>
      <c r="AP55" s="170"/>
      <c r="AQ55" s="170"/>
      <c r="AR55" s="170"/>
      <c r="AS55" s="170"/>
      <c r="AT55" s="170"/>
      <c r="AU55" s="170"/>
      <c r="AV55" s="170"/>
      <c r="AW55" s="170"/>
      <c r="AX55" s="170"/>
      <c r="AY55" s="170"/>
      <c r="AZ55" s="170"/>
      <c r="BA55" s="30"/>
      <c r="BB55" s="30"/>
      <c r="BC55" s="30"/>
      <c r="BD55" s="30"/>
      <c r="BE55" s="173"/>
      <c r="BF55" s="173"/>
      <c r="BG55" s="173"/>
      <c r="BH55" s="173"/>
      <c r="BI55" s="173"/>
      <c r="BJ55" s="173"/>
      <c r="BK55" s="173"/>
      <c r="BL55" s="173"/>
      <c r="BM55" s="173"/>
      <c r="BN55" s="173"/>
      <c r="BO55" s="173"/>
      <c r="BP55" s="173"/>
      <c r="BQ55" s="173"/>
      <c r="BR55" s="173"/>
      <c r="BS55" s="173"/>
      <c r="BT55" s="173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144"/>
      <c r="CG55" s="144"/>
      <c r="CH55" s="144"/>
      <c r="CI55" s="144"/>
      <c r="CJ55" s="144"/>
      <c r="CK55" s="144"/>
      <c r="CL55" s="144"/>
      <c r="CM55" s="144"/>
      <c r="CN55" s="144"/>
      <c r="CO55" s="144"/>
      <c r="CP55" s="144"/>
      <c r="CQ55" s="144"/>
      <c r="CR55" s="144"/>
      <c r="CS55" s="144"/>
      <c r="CT55" s="144"/>
      <c r="CU55" s="144"/>
      <c r="CV55" s="144"/>
      <c r="CW55" s="144"/>
      <c r="CX55" s="144"/>
      <c r="CY55" s="144"/>
      <c r="CZ55" s="144"/>
      <c r="DA55" s="144"/>
      <c r="DB55" s="37"/>
      <c r="DC55" s="37"/>
      <c r="DD55" s="30"/>
      <c r="DE55" s="125"/>
      <c r="DF55" s="29"/>
    </row>
    <row r="56" spans="1:110" ht="5.0999999999999996" customHeight="1" x14ac:dyDescent="0.25">
      <c r="A56" s="34"/>
      <c r="B56" s="34"/>
      <c r="C56" s="170"/>
      <c r="D56" s="170"/>
      <c r="E56" s="170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  <c r="AB56" s="170"/>
      <c r="AC56" s="170"/>
      <c r="AD56" s="170"/>
      <c r="AE56" s="170"/>
      <c r="AF56" s="170"/>
      <c r="AG56" s="170"/>
      <c r="AH56" s="170"/>
      <c r="AI56" s="170"/>
      <c r="AJ56" s="170"/>
      <c r="AK56" s="170"/>
      <c r="AL56" s="170"/>
      <c r="AM56" s="170"/>
      <c r="AN56" s="170"/>
      <c r="AO56" s="170"/>
      <c r="AP56" s="170"/>
      <c r="AQ56" s="170"/>
      <c r="AR56" s="170"/>
      <c r="AS56" s="170"/>
      <c r="AT56" s="170"/>
      <c r="AU56" s="170"/>
      <c r="AV56" s="170"/>
      <c r="AW56" s="170"/>
      <c r="AX56" s="170"/>
      <c r="AY56" s="170"/>
      <c r="AZ56" s="170"/>
      <c r="BA56" s="30"/>
      <c r="BB56" s="30"/>
      <c r="BC56" s="30"/>
      <c r="BD56" s="30"/>
      <c r="BE56" s="173"/>
      <c r="BF56" s="173"/>
      <c r="BG56" s="173"/>
      <c r="BH56" s="173"/>
      <c r="BI56" s="173"/>
      <c r="BJ56" s="173"/>
      <c r="BK56" s="173"/>
      <c r="BL56" s="173"/>
      <c r="BM56" s="173"/>
      <c r="BN56" s="173"/>
      <c r="BO56" s="173"/>
      <c r="BP56" s="173"/>
      <c r="BQ56" s="173"/>
      <c r="BR56" s="173"/>
      <c r="BS56" s="173"/>
      <c r="BT56" s="173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144"/>
      <c r="CG56" s="144"/>
      <c r="CH56" s="144"/>
      <c r="CI56" s="144"/>
      <c r="CJ56" s="144"/>
      <c r="CK56" s="144"/>
      <c r="CL56" s="144"/>
      <c r="CM56" s="144"/>
      <c r="CN56" s="144"/>
      <c r="CO56" s="144"/>
      <c r="CP56" s="144"/>
      <c r="CQ56" s="144"/>
      <c r="CR56" s="144"/>
      <c r="CS56" s="144"/>
      <c r="CT56" s="144"/>
      <c r="CU56" s="144"/>
      <c r="CV56" s="144"/>
      <c r="CW56" s="144"/>
      <c r="CX56" s="144"/>
      <c r="CY56" s="144"/>
      <c r="CZ56" s="144"/>
      <c r="DA56" s="144"/>
      <c r="DB56" s="37"/>
      <c r="DC56" s="37"/>
      <c r="DD56" s="30"/>
      <c r="DE56" s="125"/>
      <c r="DF56" s="29"/>
    </row>
    <row r="57" spans="1:110" ht="5.0999999999999996" customHeight="1" x14ac:dyDescent="0.25">
      <c r="A57" s="34"/>
      <c r="B57" s="34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  <c r="AA57" s="170"/>
      <c r="AB57" s="170"/>
      <c r="AC57" s="170"/>
      <c r="AD57" s="170"/>
      <c r="AE57" s="170"/>
      <c r="AF57" s="170"/>
      <c r="AG57" s="170"/>
      <c r="AH57" s="170"/>
      <c r="AI57" s="170"/>
      <c r="AJ57" s="170"/>
      <c r="AK57" s="170"/>
      <c r="AL57" s="170"/>
      <c r="AM57" s="170"/>
      <c r="AN57" s="170"/>
      <c r="AO57" s="170"/>
      <c r="AP57" s="170"/>
      <c r="AQ57" s="170"/>
      <c r="AR57" s="170"/>
      <c r="AS57" s="170"/>
      <c r="AT57" s="170"/>
      <c r="AU57" s="170"/>
      <c r="AV57" s="170"/>
      <c r="AW57" s="170"/>
      <c r="AX57" s="170"/>
      <c r="AY57" s="170"/>
      <c r="AZ57" s="170"/>
      <c r="BA57" s="30"/>
      <c r="BB57" s="30"/>
      <c r="BC57" s="30"/>
      <c r="BD57" s="30"/>
      <c r="BE57" s="173"/>
      <c r="BF57" s="173"/>
      <c r="BG57" s="173"/>
      <c r="BH57" s="173"/>
      <c r="BI57" s="173"/>
      <c r="BJ57" s="173"/>
      <c r="BK57" s="173"/>
      <c r="BL57" s="173"/>
      <c r="BM57" s="173"/>
      <c r="BN57" s="173"/>
      <c r="BO57" s="173"/>
      <c r="BP57" s="173"/>
      <c r="BQ57" s="173"/>
      <c r="BR57" s="173"/>
      <c r="BS57" s="173"/>
      <c r="BT57" s="173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144"/>
      <c r="CG57" s="144"/>
      <c r="CH57" s="144"/>
      <c r="CI57" s="144"/>
      <c r="CJ57" s="144"/>
      <c r="CK57" s="144"/>
      <c r="CL57" s="144"/>
      <c r="CM57" s="144"/>
      <c r="CN57" s="144"/>
      <c r="CO57" s="144"/>
      <c r="CP57" s="144"/>
      <c r="CQ57" s="144"/>
      <c r="CR57" s="144"/>
      <c r="CS57" s="144"/>
      <c r="CT57" s="144"/>
      <c r="CU57" s="144"/>
      <c r="CV57" s="144"/>
      <c r="CW57" s="144"/>
      <c r="CX57" s="144"/>
      <c r="CY57" s="144"/>
      <c r="CZ57" s="144"/>
      <c r="DA57" s="144"/>
      <c r="DB57" s="37"/>
      <c r="DC57" s="37"/>
      <c r="DD57" s="30"/>
      <c r="DE57" s="125"/>
      <c r="DF57" s="29"/>
    </row>
    <row r="58" spans="1:110" ht="5.0999999999999996" customHeight="1" x14ac:dyDescent="0.25">
      <c r="A58" s="34"/>
      <c r="B58" s="34"/>
      <c r="C58" s="170"/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30"/>
      <c r="BB58" s="30"/>
      <c r="BC58" s="30"/>
      <c r="BD58" s="30"/>
      <c r="BE58" s="173"/>
      <c r="BF58" s="173"/>
      <c r="BG58" s="173"/>
      <c r="BH58" s="173"/>
      <c r="BI58" s="173"/>
      <c r="BJ58" s="173"/>
      <c r="BK58" s="173"/>
      <c r="BL58" s="173"/>
      <c r="BM58" s="173"/>
      <c r="BN58" s="173"/>
      <c r="BO58" s="173"/>
      <c r="BP58" s="173"/>
      <c r="BQ58" s="173"/>
      <c r="BR58" s="173"/>
      <c r="BS58" s="173"/>
      <c r="BT58" s="173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144"/>
      <c r="CG58" s="144"/>
      <c r="CH58" s="144"/>
      <c r="CI58" s="144"/>
      <c r="CJ58" s="144"/>
      <c r="CK58" s="144"/>
      <c r="CL58" s="144"/>
      <c r="CM58" s="144"/>
      <c r="CN58" s="144"/>
      <c r="CO58" s="144"/>
      <c r="CP58" s="144"/>
      <c r="CQ58" s="144"/>
      <c r="CR58" s="144"/>
      <c r="CS58" s="144"/>
      <c r="CT58" s="144"/>
      <c r="CU58" s="144"/>
      <c r="CV58" s="144"/>
      <c r="CW58" s="144"/>
      <c r="CX58" s="144"/>
      <c r="CY58" s="144"/>
      <c r="CZ58" s="144"/>
      <c r="DA58" s="144"/>
      <c r="DB58" s="37"/>
      <c r="DC58" s="37"/>
      <c r="DD58" s="30"/>
      <c r="DE58" s="125"/>
      <c r="DF58" s="29"/>
    </row>
    <row r="59" spans="1:110" ht="5.0999999999999996" customHeight="1" x14ac:dyDescent="0.25">
      <c r="A59" s="34"/>
      <c r="B59" s="34"/>
      <c r="C59" s="170"/>
      <c r="D59" s="170"/>
      <c r="E59" s="170"/>
      <c r="F59" s="170"/>
      <c r="G59" s="170"/>
      <c r="H59" s="170"/>
      <c r="I59" s="170"/>
      <c r="J59" s="170"/>
      <c r="K59" s="170"/>
      <c r="L59" s="170"/>
      <c r="M59" s="170"/>
      <c r="N59" s="170"/>
      <c r="O59" s="170"/>
      <c r="P59" s="170"/>
      <c r="Q59" s="170"/>
      <c r="R59" s="170"/>
      <c r="S59" s="170"/>
      <c r="T59" s="170"/>
      <c r="U59" s="170"/>
      <c r="V59" s="170"/>
      <c r="W59" s="170"/>
      <c r="X59" s="170"/>
      <c r="Y59" s="170"/>
      <c r="Z59" s="170"/>
      <c r="AA59" s="170"/>
      <c r="AB59" s="170"/>
      <c r="AC59" s="170"/>
      <c r="AD59" s="170"/>
      <c r="AE59" s="170"/>
      <c r="AF59" s="170"/>
      <c r="AG59" s="170"/>
      <c r="AH59" s="170"/>
      <c r="AI59" s="170"/>
      <c r="AJ59" s="170"/>
      <c r="AK59" s="170"/>
      <c r="AL59" s="170"/>
      <c r="AM59" s="170"/>
      <c r="AN59" s="170"/>
      <c r="AO59" s="170"/>
      <c r="AP59" s="170"/>
      <c r="AQ59" s="170"/>
      <c r="AR59" s="170"/>
      <c r="AS59" s="170"/>
      <c r="AT59" s="170"/>
      <c r="AU59" s="170"/>
      <c r="AV59" s="170"/>
      <c r="AW59" s="170"/>
      <c r="AX59" s="170"/>
      <c r="AY59" s="170"/>
      <c r="AZ59" s="170"/>
      <c r="BA59" s="30"/>
      <c r="BB59" s="30"/>
      <c r="BC59" s="30"/>
      <c r="BD59" s="30"/>
      <c r="BE59" s="173"/>
      <c r="BF59" s="173"/>
      <c r="BG59" s="173"/>
      <c r="BH59" s="173"/>
      <c r="BI59" s="173"/>
      <c r="BJ59" s="173"/>
      <c r="BK59" s="173"/>
      <c r="BL59" s="173"/>
      <c r="BM59" s="173"/>
      <c r="BN59" s="173"/>
      <c r="BO59" s="173"/>
      <c r="BP59" s="173"/>
      <c r="BQ59" s="173"/>
      <c r="BR59" s="173"/>
      <c r="BS59" s="173"/>
      <c r="BT59" s="173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144"/>
      <c r="CG59" s="144"/>
      <c r="CH59" s="144"/>
      <c r="CI59" s="144"/>
      <c r="CJ59" s="144"/>
      <c r="CK59" s="144"/>
      <c r="CL59" s="144"/>
      <c r="CM59" s="144"/>
      <c r="CN59" s="144"/>
      <c r="CO59" s="144"/>
      <c r="CP59" s="144"/>
      <c r="CQ59" s="144"/>
      <c r="CR59" s="144"/>
      <c r="CS59" s="144"/>
      <c r="CT59" s="144"/>
      <c r="CU59" s="144"/>
      <c r="CV59" s="144"/>
      <c r="CW59" s="144"/>
      <c r="CX59" s="144"/>
      <c r="CY59" s="144"/>
      <c r="CZ59" s="144"/>
      <c r="DA59" s="144"/>
      <c r="DB59" s="37"/>
      <c r="DC59" s="37"/>
      <c r="DD59" s="30"/>
      <c r="DE59" s="125"/>
      <c r="DF59" s="29"/>
    </row>
    <row r="60" spans="1:110" ht="5.0999999999999996" customHeight="1" x14ac:dyDescent="0.25">
      <c r="A60" s="34"/>
      <c r="B60" s="34"/>
      <c r="C60" s="170"/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  <c r="AB60" s="170"/>
      <c r="AC60" s="170"/>
      <c r="AD60" s="170"/>
      <c r="AE60" s="170"/>
      <c r="AF60" s="170"/>
      <c r="AG60" s="170"/>
      <c r="AH60" s="170"/>
      <c r="AI60" s="170"/>
      <c r="AJ60" s="170"/>
      <c r="AK60" s="170"/>
      <c r="AL60" s="170"/>
      <c r="AM60" s="170"/>
      <c r="AN60" s="170"/>
      <c r="AO60" s="170"/>
      <c r="AP60" s="170"/>
      <c r="AQ60" s="170"/>
      <c r="AR60" s="170"/>
      <c r="AS60" s="170"/>
      <c r="AT60" s="170"/>
      <c r="AU60" s="170"/>
      <c r="AV60" s="170"/>
      <c r="AW60" s="170"/>
      <c r="AX60" s="170"/>
      <c r="AY60" s="170"/>
      <c r="AZ60" s="170"/>
      <c r="BA60" s="30"/>
      <c r="BB60" s="30"/>
      <c r="BC60" s="30"/>
      <c r="BD60" s="30"/>
      <c r="BE60" s="173"/>
      <c r="BF60" s="173"/>
      <c r="BG60" s="173"/>
      <c r="BH60" s="173"/>
      <c r="BI60" s="173"/>
      <c r="BJ60" s="173"/>
      <c r="BK60" s="173"/>
      <c r="BL60" s="173"/>
      <c r="BM60" s="173"/>
      <c r="BN60" s="173"/>
      <c r="BO60" s="173"/>
      <c r="BP60" s="173"/>
      <c r="BQ60" s="173"/>
      <c r="BR60" s="173"/>
      <c r="BS60" s="173"/>
      <c r="BT60" s="173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144"/>
      <c r="CG60" s="144"/>
      <c r="CH60" s="144"/>
      <c r="CI60" s="144"/>
      <c r="CJ60" s="144"/>
      <c r="CK60" s="144"/>
      <c r="CL60" s="144"/>
      <c r="CM60" s="144"/>
      <c r="CN60" s="144"/>
      <c r="CO60" s="144"/>
      <c r="CP60" s="144"/>
      <c r="CQ60" s="144"/>
      <c r="CR60" s="144"/>
      <c r="CS60" s="144"/>
      <c r="CT60" s="144"/>
      <c r="CU60" s="144"/>
      <c r="CV60" s="144"/>
      <c r="CW60" s="144"/>
      <c r="CX60" s="144"/>
      <c r="CY60" s="144"/>
      <c r="CZ60" s="144"/>
      <c r="DA60" s="144"/>
      <c r="DB60" s="37"/>
      <c r="DC60" s="37"/>
      <c r="DD60" s="30"/>
      <c r="DE60" s="125"/>
      <c r="DF60" s="29"/>
    </row>
    <row r="61" spans="1:110" ht="5.0999999999999996" customHeight="1" x14ac:dyDescent="0.25">
      <c r="A61" s="34"/>
      <c r="B61" s="34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  <c r="AA61" s="170"/>
      <c r="AB61" s="170"/>
      <c r="AC61" s="170"/>
      <c r="AD61" s="170"/>
      <c r="AE61" s="170"/>
      <c r="AF61" s="170"/>
      <c r="AG61" s="170"/>
      <c r="AH61" s="170"/>
      <c r="AI61" s="170"/>
      <c r="AJ61" s="170"/>
      <c r="AK61" s="170"/>
      <c r="AL61" s="170"/>
      <c r="AM61" s="170"/>
      <c r="AN61" s="170"/>
      <c r="AO61" s="170"/>
      <c r="AP61" s="170"/>
      <c r="AQ61" s="170"/>
      <c r="AR61" s="170"/>
      <c r="AS61" s="170"/>
      <c r="AT61" s="170"/>
      <c r="AU61" s="170"/>
      <c r="AV61" s="170"/>
      <c r="AW61" s="170"/>
      <c r="AX61" s="170"/>
      <c r="AY61" s="170"/>
      <c r="AZ61" s="170"/>
      <c r="BA61" s="30"/>
      <c r="BB61" s="30"/>
      <c r="BC61" s="30"/>
      <c r="BD61" s="30"/>
      <c r="BE61" s="173"/>
      <c r="BF61" s="173"/>
      <c r="BG61" s="173"/>
      <c r="BH61" s="173"/>
      <c r="BI61" s="173"/>
      <c r="BJ61" s="173"/>
      <c r="BK61" s="173"/>
      <c r="BL61" s="173"/>
      <c r="BM61" s="173"/>
      <c r="BN61" s="173"/>
      <c r="BO61" s="173"/>
      <c r="BP61" s="173"/>
      <c r="BQ61" s="173"/>
      <c r="BR61" s="173"/>
      <c r="BS61" s="173"/>
      <c r="BT61" s="173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144"/>
      <c r="CG61" s="144"/>
      <c r="CH61" s="144"/>
      <c r="CI61" s="144"/>
      <c r="CJ61" s="144"/>
      <c r="CK61" s="144"/>
      <c r="CL61" s="144"/>
      <c r="CM61" s="144"/>
      <c r="CN61" s="144"/>
      <c r="CO61" s="144"/>
      <c r="CP61" s="144"/>
      <c r="CQ61" s="144"/>
      <c r="CR61" s="144"/>
      <c r="CS61" s="144"/>
      <c r="CT61" s="144"/>
      <c r="CU61" s="144"/>
      <c r="CV61" s="144"/>
      <c r="CW61" s="144"/>
      <c r="CX61" s="144"/>
      <c r="CY61" s="144"/>
      <c r="CZ61" s="144"/>
      <c r="DA61" s="144"/>
      <c r="DB61" s="37"/>
      <c r="DC61" s="37"/>
      <c r="DD61" s="30"/>
      <c r="DE61" s="125"/>
      <c r="DF61" s="29"/>
    </row>
    <row r="62" spans="1:110" ht="3.75" customHeight="1" x14ac:dyDescent="0.25">
      <c r="A62" s="34"/>
      <c r="B62" s="34"/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0"/>
      <c r="W62" s="170"/>
      <c r="X62" s="170"/>
      <c r="Y62" s="170"/>
      <c r="Z62" s="170"/>
      <c r="AA62" s="170"/>
      <c r="AB62" s="170"/>
      <c r="AC62" s="170"/>
      <c r="AD62" s="170"/>
      <c r="AE62" s="170"/>
      <c r="AF62" s="170"/>
      <c r="AG62" s="170"/>
      <c r="AH62" s="170"/>
      <c r="AI62" s="170"/>
      <c r="AJ62" s="170"/>
      <c r="AK62" s="170"/>
      <c r="AL62" s="170"/>
      <c r="AM62" s="170"/>
      <c r="AN62" s="170"/>
      <c r="AO62" s="170"/>
      <c r="AP62" s="170"/>
      <c r="AQ62" s="170"/>
      <c r="AR62" s="170"/>
      <c r="AS62" s="170"/>
      <c r="AT62" s="170"/>
      <c r="AU62" s="170"/>
      <c r="AV62" s="170"/>
      <c r="AW62" s="170"/>
      <c r="AX62" s="170"/>
      <c r="AY62" s="170"/>
      <c r="AZ62" s="170"/>
      <c r="BA62" s="30"/>
      <c r="BB62" s="30"/>
      <c r="BC62" s="30"/>
      <c r="BD62" s="30"/>
      <c r="BE62" s="173"/>
      <c r="BF62" s="173"/>
      <c r="BG62" s="173"/>
      <c r="BH62" s="173"/>
      <c r="BI62" s="173"/>
      <c r="BJ62" s="173"/>
      <c r="BK62" s="173"/>
      <c r="BL62" s="173"/>
      <c r="BM62" s="173"/>
      <c r="BN62" s="173"/>
      <c r="BO62" s="173"/>
      <c r="BP62" s="173"/>
      <c r="BQ62" s="173"/>
      <c r="BR62" s="173"/>
      <c r="BS62" s="173"/>
      <c r="BT62" s="173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170" t="str">
        <f>'1 Обладатель диплома'!B6</f>
        <v>22 января 2005 года</v>
      </c>
      <c r="CG62" s="170"/>
      <c r="CH62" s="170"/>
      <c r="CI62" s="170"/>
      <c r="CJ62" s="170"/>
      <c r="CK62" s="170"/>
      <c r="CL62" s="170"/>
      <c r="CM62" s="170"/>
      <c r="CN62" s="170"/>
      <c r="CO62" s="170"/>
      <c r="CP62" s="170"/>
      <c r="CQ62" s="170"/>
      <c r="CR62" s="170"/>
      <c r="CS62" s="170"/>
      <c r="CT62" s="170"/>
      <c r="CU62" s="170"/>
      <c r="CV62" s="170"/>
      <c r="CW62" s="170"/>
      <c r="CX62" s="170"/>
      <c r="CY62" s="170"/>
      <c r="CZ62" s="170"/>
      <c r="DA62" s="144"/>
      <c r="DB62" s="37"/>
      <c r="DC62" s="37"/>
      <c r="DD62" s="30"/>
      <c r="DE62" s="125"/>
      <c r="DF62" s="29"/>
    </row>
    <row r="63" spans="1:110" ht="3.75" customHeight="1" x14ac:dyDescent="0.25">
      <c r="A63" s="34"/>
      <c r="B63" s="34"/>
      <c r="C63" s="170"/>
      <c r="D63" s="170"/>
      <c r="E63" s="170"/>
      <c r="F63" s="170"/>
      <c r="G63" s="170"/>
      <c r="H63" s="170"/>
      <c r="I63" s="170"/>
      <c r="J63" s="170"/>
      <c r="K63" s="170"/>
      <c r="L63" s="170"/>
      <c r="M63" s="170"/>
      <c r="N63" s="170"/>
      <c r="O63" s="170"/>
      <c r="P63" s="170"/>
      <c r="Q63" s="170"/>
      <c r="R63" s="170"/>
      <c r="S63" s="170"/>
      <c r="T63" s="170"/>
      <c r="U63" s="170"/>
      <c r="V63" s="170"/>
      <c r="W63" s="170"/>
      <c r="X63" s="170"/>
      <c r="Y63" s="170"/>
      <c r="Z63" s="170"/>
      <c r="AA63" s="170"/>
      <c r="AB63" s="170"/>
      <c r="AC63" s="170"/>
      <c r="AD63" s="170"/>
      <c r="AE63" s="170"/>
      <c r="AF63" s="170"/>
      <c r="AG63" s="170"/>
      <c r="AH63" s="170"/>
      <c r="AI63" s="170"/>
      <c r="AJ63" s="170"/>
      <c r="AK63" s="170"/>
      <c r="AL63" s="170"/>
      <c r="AM63" s="170"/>
      <c r="AN63" s="170"/>
      <c r="AO63" s="170"/>
      <c r="AP63" s="170"/>
      <c r="AQ63" s="170"/>
      <c r="AR63" s="170"/>
      <c r="AS63" s="170"/>
      <c r="AT63" s="170"/>
      <c r="AU63" s="170"/>
      <c r="AV63" s="170"/>
      <c r="AW63" s="170"/>
      <c r="AX63" s="170"/>
      <c r="AY63" s="170"/>
      <c r="AZ63" s="170"/>
      <c r="BA63" s="30"/>
      <c r="BB63" s="30"/>
      <c r="BC63" s="30"/>
      <c r="BD63" s="30"/>
      <c r="BE63" s="173"/>
      <c r="BF63" s="173"/>
      <c r="BG63" s="173"/>
      <c r="BH63" s="173"/>
      <c r="BI63" s="173"/>
      <c r="BJ63" s="173"/>
      <c r="BK63" s="173"/>
      <c r="BL63" s="173"/>
      <c r="BM63" s="173"/>
      <c r="BN63" s="173"/>
      <c r="BO63" s="173"/>
      <c r="BP63" s="173"/>
      <c r="BQ63" s="173"/>
      <c r="BR63" s="173"/>
      <c r="BS63" s="173"/>
      <c r="BT63" s="173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170"/>
      <c r="CG63" s="170"/>
      <c r="CH63" s="170"/>
      <c r="CI63" s="170"/>
      <c r="CJ63" s="170"/>
      <c r="CK63" s="170"/>
      <c r="CL63" s="170"/>
      <c r="CM63" s="170"/>
      <c r="CN63" s="170"/>
      <c r="CO63" s="170"/>
      <c r="CP63" s="170"/>
      <c r="CQ63" s="170"/>
      <c r="CR63" s="170"/>
      <c r="CS63" s="170"/>
      <c r="CT63" s="170"/>
      <c r="CU63" s="170"/>
      <c r="CV63" s="170"/>
      <c r="CW63" s="170"/>
      <c r="CX63" s="170"/>
      <c r="CY63" s="170"/>
      <c r="CZ63" s="170"/>
      <c r="DA63" s="144"/>
      <c r="DB63" s="37"/>
      <c r="DC63" s="37"/>
      <c r="DD63" s="30"/>
      <c r="DE63" s="125"/>
      <c r="DF63" s="29"/>
    </row>
    <row r="64" spans="1:110" ht="5.0999999999999996" customHeight="1" x14ac:dyDescent="0.25">
      <c r="A64" s="34"/>
      <c r="B64" s="34"/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0"/>
      <c r="O64" s="170"/>
      <c r="P64" s="170"/>
      <c r="Q64" s="170"/>
      <c r="R64" s="170"/>
      <c r="S64" s="170"/>
      <c r="T64" s="170"/>
      <c r="U64" s="170"/>
      <c r="V64" s="170"/>
      <c r="W64" s="170"/>
      <c r="X64" s="170"/>
      <c r="Y64" s="170"/>
      <c r="Z64" s="170"/>
      <c r="AA64" s="170"/>
      <c r="AB64" s="170"/>
      <c r="AC64" s="170"/>
      <c r="AD64" s="170"/>
      <c r="AE64" s="170"/>
      <c r="AF64" s="170"/>
      <c r="AG64" s="170"/>
      <c r="AH64" s="170"/>
      <c r="AI64" s="170"/>
      <c r="AJ64" s="170"/>
      <c r="AK64" s="170"/>
      <c r="AL64" s="170"/>
      <c r="AM64" s="170"/>
      <c r="AN64" s="170"/>
      <c r="AO64" s="170"/>
      <c r="AP64" s="170"/>
      <c r="AQ64" s="170"/>
      <c r="AR64" s="170"/>
      <c r="AS64" s="170"/>
      <c r="AT64" s="170"/>
      <c r="AU64" s="170"/>
      <c r="AV64" s="170"/>
      <c r="AW64" s="170"/>
      <c r="AX64" s="170"/>
      <c r="AY64" s="170"/>
      <c r="AZ64" s="170"/>
      <c r="BA64" s="30"/>
      <c r="BB64" s="30"/>
      <c r="BC64" s="30"/>
      <c r="BD64" s="30"/>
      <c r="BE64" s="173"/>
      <c r="BF64" s="173"/>
      <c r="BG64" s="173"/>
      <c r="BH64" s="173"/>
      <c r="BI64" s="173"/>
      <c r="BJ64" s="173"/>
      <c r="BK64" s="173"/>
      <c r="BL64" s="173"/>
      <c r="BM64" s="173"/>
      <c r="BN64" s="173"/>
      <c r="BO64" s="173"/>
      <c r="BP64" s="173"/>
      <c r="BQ64" s="173"/>
      <c r="BR64" s="173"/>
      <c r="BS64" s="173"/>
      <c r="BT64" s="173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170"/>
      <c r="CG64" s="170"/>
      <c r="CH64" s="170"/>
      <c r="CI64" s="170"/>
      <c r="CJ64" s="170"/>
      <c r="CK64" s="170"/>
      <c r="CL64" s="170"/>
      <c r="CM64" s="170"/>
      <c r="CN64" s="170"/>
      <c r="CO64" s="170"/>
      <c r="CP64" s="170"/>
      <c r="CQ64" s="170"/>
      <c r="CR64" s="170"/>
      <c r="CS64" s="170"/>
      <c r="CT64" s="170"/>
      <c r="CU64" s="170"/>
      <c r="CV64" s="170"/>
      <c r="CW64" s="170"/>
      <c r="CX64" s="170"/>
      <c r="CY64" s="170"/>
      <c r="CZ64" s="170"/>
      <c r="DA64" s="37"/>
      <c r="DB64" s="37"/>
      <c r="DC64" s="37"/>
      <c r="DD64" s="30"/>
      <c r="DE64" s="125"/>
      <c r="DF64" s="29"/>
    </row>
    <row r="65" spans="1:110" ht="5.0999999999999996" customHeight="1" x14ac:dyDescent="0.25">
      <c r="A65" s="34"/>
      <c r="B65" s="34"/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Y65" s="170"/>
      <c r="Z65" s="170"/>
      <c r="AA65" s="170"/>
      <c r="AB65" s="170"/>
      <c r="AC65" s="170"/>
      <c r="AD65" s="170"/>
      <c r="AE65" s="170"/>
      <c r="AF65" s="170"/>
      <c r="AG65" s="170"/>
      <c r="AH65" s="170"/>
      <c r="AI65" s="170"/>
      <c r="AJ65" s="170"/>
      <c r="AK65" s="170"/>
      <c r="AL65" s="170"/>
      <c r="AM65" s="170"/>
      <c r="AN65" s="170"/>
      <c r="AO65" s="170"/>
      <c r="AP65" s="170"/>
      <c r="AQ65" s="170"/>
      <c r="AR65" s="170"/>
      <c r="AS65" s="170"/>
      <c r="AT65" s="170"/>
      <c r="AU65" s="170"/>
      <c r="AV65" s="170"/>
      <c r="AW65" s="170"/>
      <c r="AX65" s="170"/>
      <c r="AY65" s="170"/>
      <c r="AZ65" s="170"/>
      <c r="BA65" s="30"/>
      <c r="BB65" s="30"/>
      <c r="BC65" s="30"/>
      <c r="BD65" s="30"/>
      <c r="BE65" s="173"/>
      <c r="BF65" s="173"/>
      <c r="BG65" s="173"/>
      <c r="BH65" s="173"/>
      <c r="BI65" s="173"/>
      <c r="BJ65" s="173"/>
      <c r="BK65" s="173"/>
      <c r="BL65" s="173"/>
      <c r="BM65" s="173"/>
      <c r="BN65" s="173"/>
      <c r="BO65" s="173"/>
      <c r="BP65" s="173"/>
      <c r="BQ65" s="173"/>
      <c r="BR65" s="173"/>
      <c r="BS65" s="173"/>
      <c r="BT65" s="173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170"/>
      <c r="CG65" s="170"/>
      <c r="CH65" s="170"/>
      <c r="CI65" s="170"/>
      <c r="CJ65" s="170"/>
      <c r="CK65" s="170"/>
      <c r="CL65" s="170"/>
      <c r="CM65" s="170"/>
      <c r="CN65" s="170"/>
      <c r="CO65" s="170"/>
      <c r="CP65" s="170"/>
      <c r="CQ65" s="170"/>
      <c r="CR65" s="170"/>
      <c r="CS65" s="170"/>
      <c r="CT65" s="170"/>
      <c r="CU65" s="170"/>
      <c r="CV65" s="170"/>
      <c r="CW65" s="170"/>
      <c r="CX65" s="170"/>
      <c r="CY65" s="170"/>
      <c r="CZ65" s="170"/>
      <c r="DA65" s="37"/>
      <c r="DB65" s="37"/>
      <c r="DC65" s="37"/>
      <c r="DD65" s="30"/>
      <c r="DE65" s="125"/>
      <c r="DF65" s="29"/>
    </row>
    <row r="66" spans="1:110" ht="4.5" customHeight="1" x14ac:dyDescent="0.25">
      <c r="A66" s="34"/>
      <c r="B66" s="34"/>
      <c r="C66" s="170"/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0"/>
      <c r="R66" s="170"/>
      <c r="S66" s="170"/>
      <c r="T66" s="170"/>
      <c r="U66" s="170"/>
      <c r="V66" s="170"/>
      <c r="W66" s="170"/>
      <c r="X66" s="170"/>
      <c r="Y66" s="170"/>
      <c r="Z66" s="170"/>
      <c r="AA66" s="170"/>
      <c r="AB66" s="170"/>
      <c r="AC66" s="170"/>
      <c r="AD66" s="170"/>
      <c r="AE66" s="170"/>
      <c r="AF66" s="170"/>
      <c r="AG66" s="170"/>
      <c r="AH66" s="170"/>
      <c r="AI66" s="170"/>
      <c r="AJ66" s="170"/>
      <c r="AK66" s="170"/>
      <c r="AL66" s="170"/>
      <c r="AM66" s="170"/>
      <c r="AN66" s="170"/>
      <c r="AO66" s="170"/>
      <c r="AP66" s="170"/>
      <c r="AQ66" s="170"/>
      <c r="AR66" s="170"/>
      <c r="AS66" s="170"/>
      <c r="AT66" s="170"/>
      <c r="AU66" s="170"/>
      <c r="AV66" s="170"/>
      <c r="AW66" s="170"/>
      <c r="AX66" s="170"/>
      <c r="AY66" s="170"/>
      <c r="AZ66" s="170"/>
      <c r="BA66" s="30"/>
      <c r="BB66" s="30"/>
      <c r="BC66" s="30"/>
      <c r="BD66" s="30"/>
      <c r="BE66" s="173"/>
      <c r="BF66" s="173"/>
      <c r="BG66" s="173"/>
      <c r="BH66" s="173"/>
      <c r="BI66" s="173"/>
      <c r="BJ66" s="173"/>
      <c r="BK66" s="173"/>
      <c r="BL66" s="173"/>
      <c r="BM66" s="173"/>
      <c r="BN66" s="173"/>
      <c r="BO66" s="173"/>
      <c r="BP66" s="173"/>
      <c r="BQ66" s="173"/>
      <c r="BR66" s="173"/>
      <c r="BS66" s="173"/>
      <c r="BT66" s="173"/>
      <c r="BU66" s="38"/>
      <c r="BV66" s="38"/>
      <c r="BW66" s="37"/>
      <c r="BX66" s="37"/>
      <c r="BY66" s="37"/>
      <c r="BZ66" s="37"/>
      <c r="CA66" s="37"/>
      <c r="CB66" s="37"/>
      <c r="CC66" s="37"/>
      <c r="CD66" s="37"/>
      <c r="CE66" s="37"/>
      <c r="CF66" s="134"/>
      <c r="CG66" s="134"/>
      <c r="CH66" s="134"/>
      <c r="CI66" s="134"/>
      <c r="CJ66" s="134"/>
      <c r="CK66" s="134"/>
      <c r="CL66" s="134"/>
      <c r="CM66" s="134"/>
      <c r="CN66" s="134"/>
      <c r="CO66" s="134"/>
      <c r="CP66" s="134"/>
      <c r="CQ66" s="134"/>
      <c r="CR66" s="134"/>
      <c r="CS66" s="134"/>
      <c r="CT66" s="134"/>
      <c r="CU66" s="134"/>
      <c r="CV66" s="134"/>
      <c r="CW66" s="134"/>
      <c r="CX66" s="134"/>
      <c r="CY66" s="134"/>
      <c r="CZ66" s="134"/>
      <c r="DA66" s="37"/>
      <c r="DB66" s="37"/>
      <c r="DC66" s="37"/>
      <c r="DD66" s="30"/>
      <c r="DE66" s="125"/>
      <c r="DF66" s="29"/>
    </row>
    <row r="67" spans="1:110" ht="4.5" customHeight="1" x14ac:dyDescent="0.25">
      <c r="A67" s="34"/>
      <c r="B67" s="34"/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70"/>
      <c r="R67" s="170"/>
      <c r="S67" s="170"/>
      <c r="T67" s="170"/>
      <c r="U67" s="170"/>
      <c r="V67" s="170"/>
      <c r="W67" s="170"/>
      <c r="X67" s="170"/>
      <c r="Y67" s="170"/>
      <c r="Z67" s="170"/>
      <c r="AA67" s="170"/>
      <c r="AB67" s="170"/>
      <c r="AC67" s="170"/>
      <c r="AD67" s="170"/>
      <c r="AE67" s="170"/>
      <c r="AF67" s="170"/>
      <c r="AG67" s="170"/>
      <c r="AH67" s="170"/>
      <c r="AI67" s="170"/>
      <c r="AJ67" s="170"/>
      <c r="AK67" s="170"/>
      <c r="AL67" s="170"/>
      <c r="AM67" s="170"/>
      <c r="AN67" s="170"/>
      <c r="AO67" s="170"/>
      <c r="AP67" s="170"/>
      <c r="AQ67" s="170"/>
      <c r="AR67" s="170"/>
      <c r="AS67" s="170"/>
      <c r="AT67" s="170"/>
      <c r="AU67" s="170"/>
      <c r="AV67" s="170"/>
      <c r="AW67" s="170"/>
      <c r="AX67" s="170"/>
      <c r="AY67" s="170"/>
      <c r="AZ67" s="170"/>
      <c r="BA67" s="30"/>
      <c r="BB67" s="30"/>
      <c r="BC67" s="30"/>
      <c r="BD67" s="30"/>
      <c r="BE67" s="173"/>
      <c r="BF67" s="173"/>
      <c r="BG67" s="173"/>
      <c r="BH67" s="173"/>
      <c r="BI67" s="173"/>
      <c r="BJ67" s="173"/>
      <c r="BK67" s="173"/>
      <c r="BL67" s="173"/>
      <c r="BM67" s="173"/>
      <c r="BN67" s="173"/>
      <c r="BO67" s="173"/>
      <c r="BP67" s="173"/>
      <c r="BQ67" s="173"/>
      <c r="BR67" s="173"/>
      <c r="BS67" s="173"/>
      <c r="BT67" s="173"/>
      <c r="BU67" s="38"/>
      <c r="BV67" s="38"/>
      <c r="BW67" s="39"/>
      <c r="BX67" s="38"/>
      <c r="BY67" s="38"/>
      <c r="BZ67" s="38"/>
      <c r="CA67" s="38"/>
      <c r="CB67" s="38"/>
      <c r="CC67" s="38"/>
      <c r="CD67" s="38"/>
      <c r="CE67" s="38"/>
      <c r="CF67" s="134"/>
      <c r="CG67" s="134"/>
      <c r="CH67" s="134"/>
      <c r="CI67" s="134"/>
      <c r="CJ67" s="134"/>
      <c r="CK67" s="134"/>
      <c r="CL67" s="134"/>
      <c r="CM67" s="134"/>
      <c r="CN67" s="134"/>
      <c r="CO67" s="134"/>
      <c r="CP67" s="134"/>
      <c r="CQ67" s="134"/>
      <c r="CR67" s="134"/>
      <c r="CS67" s="134"/>
      <c r="CT67" s="134"/>
      <c r="CU67" s="134"/>
      <c r="CV67" s="134"/>
      <c r="CW67" s="134"/>
      <c r="CX67" s="134"/>
      <c r="CY67" s="134"/>
      <c r="CZ67" s="134"/>
      <c r="DA67" s="30"/>
      <c r="DB67" s="30"/>
      <c r="DC67" s="30"/>
      <c r="DD67" s="30"/>
      <c r="DE67" s="125"/>
      <c r="DF67" s="29"/>
    </row>
    <row r="68" spans="1:110" ht="4.5" customHeight="1" x14ac:dyDescent="0.3">
      <c r="A68" s="34"/>
      <c r="B68" s="34"/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0"/>
      <c r="N68" s="170"/>
      <c r="O68" s="170"/>
      <c r="P68" s="170"/>
      <c r="Q68" s="170"/>
      <c r="R68" s="170"/>
      <c r="S68" s="170"/>
      <c r="T68" s="170"/>
      <c r="U68" s="170"/>
      <c r="V68" s="170"/>
      <c r="W68" s="170"/>
      <c r="X68" s="170"/>
      <c r="Y68" s="170"/>
      <c r="Z68" s="170"/>
      <c r="AA68" s="170"/>
      <c r="AB68" s="170"/>
      <c r="AC68" s="170"/>
      <c r="AD68" s="170"/>
      <c r="AE68" s="170"/>
      <c r="AF68" s="170"/>
      <c r="AG68" s="170"/>
      <c r="AH68" s="170"/>
      <c r="AI68" s="170"/>
      <c r="AJ68" s="170"/>
      <c r="AK68" s="170"/>
      <c r="AL68" s="170"/>
      <c r="AM68" s="170"/>
      <c r="AN68" s="170"/>
      <c r="AO68" s="170"/>
      <c r="AP68" s="170"/>
      <c r="AQ68" s="170"/>
      <c r="AR68" s="170"/>
      <c r="AS68" s="170"/>
      <c r="AT68" s="170"/>
      <c r="AU68" s="170"/>
      <c r="AV68" s="170"/>
      <c r="AW68" s="170"/>
      <c r="AX68" s="170"/>
      <c r="AY68" s="170"/>
      <c r="AZ68" s="170"/>
      <c r="BA68" s="30"/>
      <c r="BB68" s="30"/>
      <c r="BC68" s="30"/>
      <c r="BD68" s="30"/>
      <c r="BE68" s="173"/>
      <c r="BF68" s="173"/>
      <c r="BG68" s="173"/>
      <c r="BH68" s="173"/>
      <c r="BI68" s="173"/>
      <c r="BJ68" s="173"/>
      <c r="BK68" s="173"/>
      <c r="BL68" s="173"/>
      <c r="BM68" s="173"/>
      <c r="BN68" s="173"/>
      <c r="BO68" s="173"/>
      <c r="BP68" s="173"/>
      <c r="BQ68" s="173"/>
      <c r="BR68" s="173"/>
      <c r="BS68" s="173"/>
      <c r="BT68" s="173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45"/>
      <c r="CG68" s="45"/>
      <c r="CH68" s="45"/>
      <c r="CI68" s="45"/>
      <c r="CJ68" s="45"/>
      <c r="CK68" s="45"/>
      <c r="CL68" s="45"/>
      <c r="CM68" s="45"/>
      <c r="CN68" s="45"/>
      <c r="CO68" s="45"/>
      <c r="CP68" s="45"/>
      <c r="CQ68" s="45"/>
      <c r="CR68" s="45"/>
      <c r="CS68" s="45"/>
      <c r="CT68" s="45"/>
      <c r="CU68" s="45"/>
      <c r="CV68" s="45"/>
      <c r="CW68" s="45"/>
      <c r="CX68" s="45"/>
      <c r="CY68" s="45"/>
      <c r="CZ68" s="45"/>
      <c r="DA68" s="30"/>
      <c r="DB68" s="30"/>
      <c r="DC68" s="30"/>
      <c r="DD68" s="30"/>
      <c r="DE68" s="125"/>
      <c r="DF68" s="29"/>
    </row>
    <row r="69" spans="1:110" ht="4.5" customHeight="1" x14ac:dyDescent="0.3">
      <c r="A69" s="34"/>
      <c r="B69" s="34"/>
      <c r="C69" s="170"/>
      <c r="D69" s="170"/>
      <c r="E69" s="170"/>
      <c r="F69" s="170"/>
      <c r="G69" s="170"/>
      <c r="H69" s="170"/>
      <c r="I69" s="170"/>
      <c r="J69" s="170"/>
      <c r="K69" s="170"/>
      <c r="L69" s="170"/>
      <c r="M69" s="170"/>
      <c r="N69" s="170"/>
      <c r="O69" s="170"/>
      <c r="P69" s="170"/>
      <c r="Q69" s="170"/>
      <c r="R69" s="170"/>
      <c r="S69" s="170"/>
      <c r="T69" s="170"/>
      <c r="U69" s="170"/>
      <c r="V69" s="170"/>
      <c r="W69" s="170"/>
      <c r="X69" s="170"/>
      <c r="Y69" s="170"/>
      <c r="Z69" s="170"/>
      <c r="AA69" s="170"/>
      <c r="AB69" s="170"/>
      <c r="AC69" s="170"/>
      <c r="AD69" s="170"/>
      <c r="AE69" s="170"/>
      <c r="AF69" s="170"/>
      <c r="AG69" s="170"/>
      <c r="AH69" s="170"/>
      <c r="AI69" s="170"/>
      <c r="AJ69" s="170"/>
      <c r="AK69" s="170"/>
      <c r="AL69" s="170"/>
      <c r="AM69" s="170"/>
      <c r="AN69" s="170"/>
      <c r="AO69" s="170"/>
      <c r="AP69" s="170"/>
      <c r="AQ69" s="170"/>
      <c r="AR69" s="170"/>
      <c r="AS69" s="170"/>
      <c r="AT69" s="170"/>
      <c r="AU69" s="170"/>
      <c r="AV69" s="170"/>
      <c r="AW69" s="170"/>
      <c r="AX69" s="170"/>
      <c r="AY69" s="170"/>
      <c r="AZ69" s="170"/>
      <c r="BA69" s="30"/>
      <c r="BB69" s="30"/>
      <c r="BC69" s="30"/>
      <c r="BD69" s="30"/>
      <c r="BE69" s="173"/>
      <c r="BF69" s="173"/>
      <c r="BG69" s="173"/>
      <c r="BH69" s="173"/>
      <c r="BI69" s="173"/>
      <c r="BJ69" s="173"/>
      <c r="BK69" s="173"/>
      <c r="BL69" s="173"/>
      <c r="BM69" s="173"/>
      <c r="BN69" s="173"/>
      <c r="BO69" s="173"/>
      <c r="BP69" s="173"/>
      <c r="BQ69" s="173"/>
      <c r="BR69" s="173"/>
      <c r="BS69" s="173"/>
      <c r="BT69" s="173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45"/>
      <c r="CG69" s="45"/>
      <c r="CH69" s="45"/>
      <c r="CI69" s="45"/>
      <c r="CJ69" s="45"/>
      <c r="CK69" s="45"/>
      <c r="CL69" s="45"/>
      <c r="CM69" s="45"/>
      <c r="CN69" s="45"/>
      <c r="CO69" s="45"/>
      <c r="CP69" s="45"/>
      <c r="CQ69" s="45"/>
      <c r="CR69" s="45"/>
      <c r="CS69" s="45"/>
      <c r="CT69" s="45"/>
      <c r="CU69" s="45"/>
      <c r="CV69" s="45"/>
      <c r="CW69" s="45"/>
      <c r="CX69" s="45"/>
      <c r="CY69" s="45"/>
      <c r="CZ69" s="45"/>
      <c r="DA69" s="30"/>
      <c r="DB69" s="30"/>
      <c r="DC69" s="30"/>
      <c r="DD69" s="30"/>
      <c r="DE69" s="125"/>
      <c r="DF69" s="29"/>
    </row>
    <row r="70" spans="1:110" ht="5.0999999999999996" customHeight="1" x14ac:dyDescent="0.3">
      <c r="A70" s="34"/>
      <c r="B70" s="34"/>
      <c r="C70" s="169" t="str">
        <f>IF(LEN(TRIM('4 доп.сведения'!B20))=0," ",'4 доп.сведения'!B20)</f>
        <v xml:space="preserve"> </v>
      </c>
      <c r="D70" s="169"/>
      <c r="E70" s="169"/>
      <c r="F70" s="169"/>
      <c r="G70" s="169"/>
      <c r="H70" s="169"/>
      <c r="I70" s="169"/>
      <c r="J70" s="169"/>
      <c r="K70" s="169"/>
      <c r="L70" s="169"/>
      <c r="M70" s="169"/>
      <c r="N70" s="169"/>
      <c r="O70" s="169"/>
      <c r="P70" s="169"/>
      <c r="Q70" s="169"/>
      <c r="R70" s="169"/>
      <c r="S70" s="169"/>
      <c r="T70" s="169"/>
      <c r="U70" s="169"/>
      <c r="V70" s="169"/>
      <c r="W70" s="169"/>
      <c r="X70" s="169"/>
      <c r="Y70" s="169"/>
      <c r="Z70" s="169"/>
      <c r="AA70" s="169"/>
      <c r="AB70" s="169"/>
      <c r="AC70" s="169"/>
      <c r="AD70" s="169"/>
      <c r="AE70" s="169"/>
      <c r="AF70" s="169"/>
      <c r="AG70" s="169"/>
      <c r="AH70" s="169"/>
      <c r="AI70" s="169"/>
      <c r="AJ70" s="169"/>
      <c r="AK70" s="169"/>
      <c r="AL70" s="169"/>
      <c r="AM70" s="169"/>
      <c r="AN70" s="169"/>
      <c r="AO70" s="169"/>
      <c r="AP70" s="169"/>
      <c r="AQ70" s="169"/>
      <c r="AR70" s="169"/>
      <c r="AS70" s="169"/>
      <c r="AT70" s="169"/>
      <c r="AU70" s="169"/>
      <c r="AV70" s="169"/>
      <c r="AW70" s="169"/>
      <c r="AX70" s="169"/>
      <c r="AY70" s="169"/>
      <c r="AZ70" s="169"/>
      <c r="BA70" s="30"/>
      <c r="BB70" s="30"/>
      <c r="BC70" s="30"/>
      <c r="BD70" s="30"/>
      <c r="BE70" s="169" t="s">
        <v>55</v>
      </c>
      <c r="BF70" s="169"/>
      <c r="BG70" s="169"/>
      <c r="BH70" s="169"/>
      <c r="BI70" s="169"/>
      <c r="BJ70" s="169"/>
      <c r="BK70" s="169"/>
      <c r="BL70" s="169"/>
      <c r="BM70" s="169"/>
      <c r="BN70" s="169"/>
      <c r="BO70" s="169"/>
      <c r="BP70" s="169"/>
      <c r="BQ70" s="169"/>
      <c r="BR70" s="169"/>
      <c r="BS70" s="169"/>
      <c r="BT70" s="169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45"/>
      <c r="CG70" s="45"/>
      <c r="CH70" s="45"/>
      <c r="CI70" s="45"/>
      <c r="CJ70" s="45"/>
      <c r="CK70" s="45"/>
      <c r="CL70" s="45"/>
      <c r="CM70" s="45"/>
      <c r="CN70" s="45"/>
      <c r="CO70" s="45"/>
      <c r="CP70" s="45"/>
      <c r="CQ70" s="45"/>
      <c r="CR70" s="45"/>
      <c r="CS70" s="45"/>
      <c r="CT70" s="45"/>
      <c r="CU70" s="45"/>
      <c r="CV70" s="45"/>
      <c r="CW70" s="45"/>
      <c r="CX70" s="45"/>
      <c r="CY70" s="45"/>
      <c r="CZ70" s="45"/>
      <c r="DA70" s="30"/>
      <c r="DB70" s="30"/>
      <c r="DC70" s="30"/>
      <c r="DD70" s="30"/>
      <c r="DE70" s="125"/>
      <c r="DF70" s="29"/>
    </row>
    <row r="71" spans="1:110" ht="5.0999999999999996" customHeight="1" x14ac:dyDescent="0.3">
      <c r="A71" s="34"/>
      <c r="B71" s="34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  <c r="AA71" s="169"/>
      <c r="AB71" s="169"/>
      <c r="AC71" s="169"/>
      <c r="AD71" s="169"/>
      <c r="AE71" s="169"/>
      <c r="AF71" s="169"/>
      <c r="AG71" s="169"/>
      <c r="AH71" s="169"/>
      <c r="AI71" s="169"/>
      <c r="AJ71" s="169"/>
      <c r="AK71" s="169"/>
      <c r="AL71" s="169"/>
      <c r="AM71" s="169"/>
      <c r="AN71" s="169"/>
      <c r="AO71" s="169"/>
      <c r="AP71" s="169"/>
      <c r="AQ71" s="169"/>
      <c r="AR71" s="169"/>
      <c r="AS71" s="169"/>
      <c r="AT71" s="169"/>
      <c r="AU71" s="169"/>
      <c r="AV71" s="169"/>
      <c r="AW71" s="169"/>
      <c r="AX71" s="169"/>
      <c r="AY71" s="169"/>
      <c r="AZ71" s="169"/>
      <c r="BA71" s="30"/>
      <c r="BB71" s="30"/>
      <c r="BC71" s="30"/>
      <c r="BD71" s="30"/>
      <c r="BE71" s="169"/>
      <c r="BF71" s="169"/>
      <c r="BG71" s="169"/>
      <c r="BH71" s="169"/>
      <c r="BI71" s="169"/>
      <c r="BJ71" s="169"/>
      <c r="BK71" s="169"/>
      <c r="BL71" s="169"/>
      <c r="BM71" s="169"/>
      <c r="BN71" s="169"/>
      <c r="BO71" s="169"/>
      <c r="BP71" s="169"/>
      <c r="BQ71" s="169"/>
      <c r="BR71" s="169"/>
      <c r="BS71" s="169"/>
      <c r="BT71" s="169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45"/>
      <c r="CG71" s="45"/>
      <c r="CH71" s="45"/>
      <c r="CI71" s="45"/>
      <c r="CJ71" s="45"/>
      <c r="CK71" s="45"/>
      <c r="CL71" s="45"/>
      <c r="CM71" s="45"/>
      <c r="CN71" s="45"/>
      <c r="CO71" s="45"/>
      <c r="CP71" s="45"/>
      <c r="CQ71" s="45"/>
      <c r="CR71" s="45"/>
      <c r="CS71" s="45"/>
      <c r="CT71" s="45"/>
      <c r="CU71" s="45"/>
      <c r="CV71" s="45"/>
      <c r="CW71" s="45"/>
      <c r="CX71" s="45"/>
      <c r="CY71" s="45"/>
      <c r="CZ71" s="45"/>
      <c r="DA71" s="30"/>
      <c r="DB71" s="30"/>
      <c r="DC71" s="30"/>
      <c r="DD71" s="30"/>
      <c r="DE71" s="125"/>
      <c r="DF71" s="29"/>
    </row>
    <row r="72" spans="1:110" ht="5.0999999999999996" customHeight="1" x14ac:dyDescent="0.25">
      <c r="A72" s="34"/>
      <c r="B72" s="34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69"/>
      <c r="U72" s="169"/>
      <c r="V72" s="169"/>
      <c r="W72" s="169"/>
      <c r="X72" s="169"/>
      <c r="Y72" s="169"/>
      <c r="Z72" s="169"/>
      <c r="AA72" s="169"/>
      <c r="AB72" s="169"/>
      <c r="AC72" s="169"/>
      <c r="AD72" s="169"/>
      <c r="AE72" s="169"/>
      <c r="AF72" s="169"/>
      <c r="AG72" s="169"/>
      <c r="AH72" s="169"/>
      <c r="AI72" s="169"/>
      <c r="AJ72" s="169"/>
      <c r="AK72" s="169"/>
      <c r="AL72" s="169"/>
      <c r="AM72" s="169"/>
      <c r="AN72" s="169"/>
      <c r="AO72" s="169"/>
      <c r="AP72" s="169"/>
      <c r="AQ72" s="169"/>
      <c r="AR72" s="169"/>
      <c r="AS72" s="169"/>
      <c r="AT72" s="169"/>
      <c r="AU72" s="169"/>
      <c r="AV72" s="169"/>
      <c r="AW72" s="169"/>
      <c r="AX72" s="169"/>
      <c r="AY72" s="169"/>
      <c r="AZ72" s="169"/>
      <c r="BA72" s="30"/>
      <c r="BB72" s="30"/>
      <c r="BC72" s="30"/>
      <c r="BD72" s="30"/>
      <c r="BE72" s="169"/>
      <c r="BF72" s="169"/>
      <c r="BG72" s="169"/>
      <c r="BH72" s="169"/>
      <c r="BI72" s="169"/>
      <c r="BJ72" s="169"/>
      <c r="BK72" s="169"/>
      <c r="BL72" s="169"/>
      <c r="BM72" s="169"/>
      <c r="BN72" s="169"/>
      <c r="BO72" s="169"/>
      <c r="BP72" s="169"/>
      <c r="BQ72" s="169"/>
      <c r="BR72" s="169"/>
      <c r="BS72" s="169"/>
      <c r="BT72" s="169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125"/>
      <c r="DF72" s="29"/>
    </row>
    <row r="73" spans="1:110" ht="5.0999999999999996" customHeight="1" x14ac:dyDescent="0.25">
      <c r="A73" s="34"/>
      <c r="B73" s="34"/>
      <c r="C73" s="169" t="str">
        <f>IF(LEN(TRIM('4 доп.сведения'!B21))=0," ",'4 доп.сведения'!B21)</f>
        <v xml:space="preserve"> </v>
      </c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U73" s="169"/>
      <c r="V73" s="169"/>
      <c r="W73" s="169"/>
      <c r="X73" s="169"/>
      <c r="Y73" s="169"/>
      <c r="Z73" s="169"/>
      <c r="AA73" s="169"/>
      <c r="AB73" s="169"/>
      <c r="AC73" s="169"/>
      <c r="AD73" s="169"/>
      <c r="AE73" s="169"/>
      <c r="AF73" s="169"/>
      <c r="AG73" s="169"/>
      <c r="AH73" s="169"/>
      <c r="AI73" s="169"/>
      <c r="AJ73" s="169"/>
      <c r="AK73" s="169"/>
      <c r="AL73" s="169"/>
      <c r="AM73" s="169"/>
      <c r="AN73" s="169"/>
      <c r="AO73" s="169"/>
      <c r="AP73" s="169"/>
      <c r="AQ73" s="169"/>
      <c r="AR73" s="169"/>
      <c r="AS73" s="169"/>
      <c r="AT73" s="169"/>
      <c r="AU73" s="169"/>
      <c r="AV73" s="169"/>
      <c r="AW73" s="169"/>
      <c r="AX73" s="169"/>
      <c r="AY73" s="169"/>
      <c r="AZ73" s="169"/>
      <c r="BA73" s="30"/>
      <c r="BB73" s="30"/>
      <c r="BC73" s="30"/>
      <c r="BD73" s="30"/>
      <c r="BE73" s="169"/>
      <c r="BF73" s="169"/>
      <c r="BG73" s="169"/>
      <c r="BH73" s="169"/>
      <c r="BI73" s="169"/>
      <c r="BJ73" s="169"/>
      <c r="BK73" s="169"/>
      <c r="BL73" s="169"/>
      <c r="BM73" s="169"/>
      <c r="BN73" s="169"/>
      <c r="BO73" s="169"/>
      <c r="BP73" s="169"/>
      <c r="BQ73" s="169"/>
      <c r="BR73" s="169"/>
      <c r="BS73" s="169"/>
      <c r="BT73" s="169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125"/>
      <c r="DF73" s="29"/>
    </row>
    <row r="74" spans="1:110" ht="5.0999999999999996" customHeight="1" x14ac:dyDescent="0.25">
      <c r="A74" s="34"/>
      <c r="B74" s="34"/>
      <c r="C74" s="169"/>
      <c r="D74" s="169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  <c r="Z74" s="169"/>
      <c r="AA74" s="169"/>
      <c r="AB74" s="169"/>
      <c r="AC74" s="169"/>
      <c r="AD74" s="169"/>
      <c r="AE74" s="169"/>
      <c r="AF74" s="169"/>
      <c r="AG74" s="169"/>
      <c r="AH74" s="169"/>
      <c r="AI74" s="169"/>
      <c r="AJ74" s="169"/>
      <c r="AK74" s="169"/>
      <c r="AL74" s="169"/>
      <c r="AM74" s="169"/>
      <c r="AN74" s="169"/>
      <c r="AO74" s="169"/>
      <c r="AP74" s="169"/>
      <c r="AQ74" s="169"/>
      <c r="AR74" s="169"/>
      <c r="AS74" s="169"/>
      <c r="AT74" s="169"/>
      <c r="AU74" s="169"/>
      <c r="AV74" s="169"/>
      <c r="AW74" s="169"/>
      <c r="AX74" s="169"/>
      <c r="AY74" s="169"/>
      <c r="AZ74" s="169"/>
      <c r="BA74" s="30"/>
      <c r="BB74" s="30"/>
      <c r="BC74" s="30"/>
      <c r="BD74" s="30"/>
      <c r="BE74" s="169"/>
      <c r="BF74" s="169"/>
      <c r="BG74" s="169"/>
      <c r="BH74" s="169"/>
      <c r="BI74" s="169"/>
      <c r="BJ74" s="169"/>
      <c r="BK74" s="169"/>
      <c r="BL74" s="169"/>
      <c r="BM74" s="169"/>
      <c r="BN74" s="169"/>
      <c r="BO74" s="169"/>
      <c r="BP74" s="169"/>
      <c r="BQ74" s="169"/>
      <c r="BR74" s="169"/>
      <c r="BS74" s="169"/>
      <c r="BT74" s="169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125"/>
      <c r="DF74" s="29"/>
    </row>
    <row r="75" spans="1:110" ht="5.0999999999999996" customHeight="1" x14ac:dyDescent="0.25">
      <c r="A75" s="34"/>
      <c r="B75" s="34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  <c r="AA75" s="169"/>
      <c r="AB75" s="169"/>
      <c r="AC75" s="169"/>
      <c r="AD75" s="169"/>
      <c r="AE75" s="169"/>
      <c r="AF75" s="169"/>
      <c r="AG75" s="169"/>
      <c r="AH75" s="169"/>
      <c r="AI75" s="169"/>
      <c r="AJ75" s="169"/>
      <c r="AK75" s="169"/>
      <c r="AL75" s="169"/>
      <c r="AM75" s="169"/>
      <c r="AN75" s="169"/>
      <c r="AO75" s="169"/>
      <c r="AP75" s="169"/>
      <c r="AQ75" s="169"/>
      <c r="AR75" s="169"/>
      <c r="AS75" s="169"/>
      <c r="AT75" s="169"/>
      <c r="AU75" s="169"/>
      <c r="AV75" s="169"/>
      <c r="AW75" s="169"/>
      <c r="AX75" s="169"/>
      <c r="AY75" s="169"/>
      <c r="AZ75" s="169"/>
      <c r="BA75" s="30"/>
      <c r="BB75" s="30"/>
      <c r="BC75" s="30"/>
      <c r="BD75" s="30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125"/>
      <c r="DF75" s="29"/>
    </row>
    <row r="76" spans="1:110" ht="5.0999999999999996" customHeight="1" x14ac:dyDescent="0.25">
      <c r="A76" s="34"/>
      <c r="B76" s="34"/>
      <c r="C76" s="169" t="str">
        <f>IF(LEN(TRIM('4 доп.сведения'!B22))=0," ",'4 доп.сведения'!B23)</f>
        <v xml:space="preserve"> </v>
      </c>
      <c r="D76" s="169"/>
      <c r="E76" s="169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  <c r="R76" s="169"/>
      <c r="S76" s="169"/>
      <c r="T76" s="169"/>
      <c r="U76" s="169"/>
      <c r="V76" s="169"/>
      <c r="W76" s="169"/>
      <c r="X76" s="169"/>
      <c r="Y76" s="169"/>
      <c r="Z76" s="169"/>
      <c r="AA76" s="169"/>
      <c r="AB76" s="169"/>
      <c r="AC76" s="169"/>
      <c r="AD76" s="169"/>
      <c r="AE76" s="169"/>
      <c r="AF76" s="169"/>
      <c r="AG76" s="169"/>
      <c r="AH76" s="169"/>
      <c r="AI76" s="169"/>
      <c r="AJ76" s="169"/>
      <c r="AK76" s="169"/>
      <c r="AL76" s="169"/>
      <c r="AM76" s="169"/>
      <c r="AN76" s="169"/>
      <c r="AO76" s="169"/>
      <c r="AP76" s="169"/>
      <c r="AQ76" s="169"/>
      <c r="AR76" s="169"/>
      <c r="AS76" s="169"/>
      <c r="AT76" s="169"/>
      <c r="AU76" s="169"/>
      <c r="AV76" s="169"/>
      <c r="AW76" s="169"/>
      <c r="AX76" s="169"/>
      <c r="AY76" s="169"/>
      <c r="AZ76" s="169"/>
      <c r="BA76" s="30"/>
      <c r="BB76" s="30"/>
      <c r="BC76" s="30"/>
      <c r="BD76" s="30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125"/>
      <c r="DF76" s="29"/>
    </row>
    <row r="77" spans="1:110" ht="5.0999999999999996" customHeight="1" x14ac:dyDescent="0.25">
      <c r="A77" s="34"/>
      <c r="B77" s="34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  <c r="U77" s="169"/>
      <c r="V77" s="169"/>
      <c r="W77" s="169"/>
      <c r="X77" s="169"/>
      <c r="Y77" s="169"/>
      <c r="Z77" s="169"/>
      <c r="AA77" s="169"/>
      <c r="AB77" s="169"/>
      <c r="AC77" s="169"/>
      <c r="AD77" s="169"/>
      <c r="AE77" s="169"/>
      <c r="AF77" s="169"/>
      <c r="AG77" s="169"/>
      <c r="AH77" s="169"/>
      <c r="AI77" s="169"/>
      <c r="AJ77" s="169"/>
      <c r="AK77" s="169"/>
      <c r="AL77" s="169"/>
      <c r="AM77" s="169"/>
      <c r="AN77" s="169"/>
      <c r="AO77" s="169"/>
      <c r="AP77" s="169"/>
      <c r="AQ77" s="169"/>
      <c r="AR77" s="169"/>
      <c r="AS77" s="169"/>
      <c r="AT77" s="169"/>
      <c r="AU77" s="169"/>
      <c r="AV77" s="169"/>
      <c r="AW77" s="169"/>
      <c r="AX77" s="169"/>
      <c r="AY77" s="169"/>
      <c r="AZ77" s="169"/>
      <c r="BA77" s="30"/>
      <c r="BB77" s="30"/>
      <c r="BC77" s="30"/>
      <c r="BD77" s="30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125"/>
      <c r="DF77" s="29"/>
    </row>
    <row r="78" spans="1:110" ht="5.0999999999999996" customHeight="1" x14ac:dyDescent="0.25">
      <c r="A78" s="34"/>
      <c r="B78" s="34"/>
      <c r="C78" s="169"/>
      <c r="D78" s="169"/>
      <c r="E78" s="169"/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169"/>
      <c r="R78" s="169"/>
      <c r="S78" s="169"/>
      <c r="T78" s="169"/>
      <c r="U78" s="169"/>
      <c r="V78" s="169"/>
      <c r="W78" s="169"/>
      <c r="X78" s="169"/>
      <c r="Y78" s="169"/>
      <c r="Z78" s="169"/>
      <c r="AA78" s="169"/>
      <c r="AB78" s="169"/>
      <c r="AC78" s="169"/>
      <c r="AD78" s="169"/>
      <c r="AE78" s="169"/>
      <c r="AF78" s="169"/>
      <c r="AG78" s="169"/>
      <c r="AH78" s="169"/>
      <c r="AI78" s="169"/>
      <c r="AJ78" s="169"/>
      <c r="AK78" s="169"/>
      <c r="AL78" s="169"/>
      <c r="AM78" s="169"/>
      <c r="AN78" s="169"/>
      <c r="AO78" s="169"/>
      <c r="AP78" s="169"/>
      <c r="AQ78" s="169"/>
      <c r="AR78" s="169"/>
      <c r="AS78" s="169"/>
      <c r="AT78" s="169"/>
      <c r="AU78" s="169"/>
      <c r="AV78" s="169"/>
      <c r="AW78" s="169"/>
      <c r="AX78" s="169"/>
      <c r="AY78" s="169"/>
      <c r="AZ78" s="169"/>
      <c r="BA78" s="30"/>
      <c r="BB78" s="30"/>
      <c r="BC78" s="30"/>
      <c r="BD78" s="30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125"/>
      <c r="DF78" s="29"/>
    </row>
    <row r="79" spans="1:110" ht="5.0999999999999996" customHeight="1" x14ac:dyDescent="0.25">
      <c r="A79" s="34"/>
      <c r="B79" s="34"/>
      <c r="C79" s="169" t="str">
        <f>IF(LEN(TRIM('4 доп.сведения'!B24))=0," ",'4 доп.сведения'!B24)</f>
        <v xml:space="preserve"> </v>
      </c>
      <c r="D79" s="169"/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  <c r="R79" s="169"/>
      <c r="S79" s="169"/>
      <c r="T79" s="169"/>
      <c r="U79" s="169"/>
      <c r="V79" s="169"/>
      <c r="W79" s="169"/>
      <c r="X79" s="169"/>
      <c r="Y79" s="169"/>
      <c r="Z79" s="169"/>
      <c r="AA79" s="169"/>
      <c r="AB79" s="169"/>
      <c r="AC79" s="169"/>
      <c r="AD79" s="169"/>
      <c r="AE79" s="169"/>
      <c r="AF79" s="169"/>
      <c r="AG79" s="169"/>
      <c r="AH79" s="169"/>
      <c r="AI79" s="169"/>
      <c r="AJ79" s="169"/>
      <c r="AK79" s="169"/>
      <c r="AL79" s="169"/>
      <c r="AM79" s="169"/>
      <c r="AN79" s="169"/>
      <c r="AO79" s="169"/>
      <c r="AP79" s="169"/>
      <c r="AQ79" s="169"/>
      <c r="AR79" s="169"/>
      <c r="AS79" s="169"/>
      <c r="AT79" s="169"/>
      <c r="AU79" s="169"/>
      <c r="AV79" s="169"/>
      <c r="AW79" s="169"/>
      <c r="AX79" s="169"/>
      <c r="AY79" s="169"/>
      <c r="AZ79" s="169"/>
      <c r="BA79" s="30"/>
      <c r="BB79" s="30"/>
      <c r="BC79" s="30"/>
      <c r="BD79" s="30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0"/>
      <c r="BV79" s="171" t="str">
        <f>IF(LEN(TRIM('1 Обладатель диплома'!B8 &amp; " " &amp;'1 Обладатель диплома'!B9))=0," ",'1 Обладатель диплома'!B8 &amp; " " &amp;'1 Обладатель диплома'!B9)</f>
        <v xml:space="preserve"> </v>
      </c>
      <c r="BW79" s="171"/>
      <c r="BX79" s="171"/>
      <c r="BY79" s="171"/>
      <c r="BZ79" s="171"/>
      <c r="CA79" s="171"/>
      <c r="CB79" s="171"/>
      <c r="CC79" s="171"/>
      <c r="CD79" s="171"/>
      <c r="CE79" s="171"/>
      <c r="CF79" s="171"/>
      <c r="CG79" s="171"/>
      <c r="CH79" s="171"/>
      <c r="CI79" s="171"/>
      <c r="CJ79" s="171"/>
      <c r="CK79" s="171"/>
      <c r="CL79" s="171"/>
      <c r="CM79" s="171"/>
      <c r="CN79" s="171"/>
      <c r="CO79" s="171"/>
      <c r="CP79" s="171"/>
      <c r="CQ79" s="171"/>
      <c r="CR79" s="171"/>
      <c r="CS79" s="171"/>
      <c r="CT79" s="171"/>
      <c r="CU79" s="171"/>
      <c r="CV79" s="171"/>
      <c r="CW79" s="171"/>
      <c r="CX79" s="171"/>
      <c r="CY79" s="171"/>
      <c r="CZ79" s="171"/>
      <c r="DA79" s="171"/>
      <c r="DB79" s="30"/>
      <c r="DC79" s="30"/>
      <c r="DD79" s="30"/>
      <c r="DE79" s="125"/>
      <c r="DF79" s="29"/>
    </row>
    <row r="80" spans="1:110" ht="5.0999999999999996" customHeight="1" x14ac:dyDescent="0.25">
      <c r="A80" s="34"/>
      <c r="B80" s="34"/>
      <c r="C80" s="169"/>
      <c r="D80" s="169"/>
      <c r="E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  <c r="R80" s="169"/>
      <c r="S80" s="169"/>
      <c r="T80" s="169"/>
      <c r="U80" s="169"/>
      <c r="V80" s="169"/>
      <c r="W80" s="169"/>
      <c r="X80" s="169"/>
      <c r="Y80" s="169"/>
      <c r="Z80" s="169"/>
      <c r="AA80" s="169"/>
      <c r="AB80" s="169"/>
      <c r="AC80" s="169"/>
      <c r="AD80" s="169"/>
      <c r="AE80" s="169"/>
      <c r="AF80" s="169"/>
      <c r="AG80" s="169"/>
      <c r="AH80" s="169"/>
      <c r="AI80" s="169"/>
      <c r="AJ80" s="169"/>
      <c r="AK80" s="169"/>
      <c r="AL80" s="169"/>
      <c r="AM80" s="169"/>
      <c r="AN80" s="169"/>
      <c r="AO80" s="169"/>
      <c r="AP80" s="169"/>
      <c r="AQ80" s="169"/>
      <c r="AR80" s="169"/>
      <c r="AS80" s="169"/>
      <c r="AT80" s="169"/>
      <c r="AU80" s="169"/>
      <c r="AV80" s="169"/>
      <c r="AW80" s="169"/>
      <c r="AX80" s="169"/>
      <c r="AY80" s="169"/>
      <c r="AZ80" s="169"/>
      <c r="BA80" s="30"/>
      <c r="BB80" s="30"/>
      <c r="BC80" s="30"/>
      <c r="BD80" s="3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30"/>
      <c r="BV80" s="171"/>
      <c r="BW80" s="171"/>
      <c r="BX80" s="171"/>
      <c r="BY80" s="171"/>
      <c r="BZ80" s="171"/>
      <c r="CA80" s="171"/>
      <c r="CB80" s="171"/>
      <c r="CC80" s="171"/>
      <c r="CD80" s="171"/>
      <c r="CE80" s="171"/>
      <c r="CF80" s="171"/>
      <c r="CG80" s="171"/>
      <c r="CH80" s="171"/>
      <c r="CI80" s="171"/>
      <c r="CJ80" s="171"/>
      <c r="CK80" s="171"/>
      <c r="CL80" s="171"/>
      <c r="CM80" s="171"/>
      <c r="CN80" s="171"/>
      <c r="CO80" s="171"/>
      <c r="CP80" s="171"/>
      <c r="CQ80" s="171"/>
      <c r="CR80" s="171"/>
      <c r="CS80" s="171"/>
      <c r="CT80" s="171"/>
      <c r="CU80" s="171"/>
      <c r="CV80" s="171"/>
      <c r="CW80" s="171"/>
      <c r="CX80" s="171"/>
      <c r="CY80" s="171"/>
      <c r="CZ80" s="171"/>
      <c r="DA80" s="171"/>
      <c r="DB80" s="30"/>
      <c r="DC80" s="30"/>
      <c r="DD80" s="30"/>
      <c r="DE80" s="125"/>
      <c r="DF80" s="29"/>
    </row>
    <row r="81" spans="1:110" ht="5.0999999999999996" customHeight="1" x14ac:dyDescent="0.25">
      <c r="A81" s="34"/>
      <c r="B81" s="34"/>
      <c r="C81" s="169"/>
      <c r="D81" s="169"/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  <c r="AA81" s="169"/>
      <c r="AB81" s="169"/>
      <c r="AC81" s="169"/>
      <c r="AD81" s="169"/>
      <c r="AE81" s="169"/>
      <c r="AF81" s="169"/>
      <c r="AG81" s="169"/>
      <c r="AH81" s="169"/>
      <c r="AI81" s="169"/>
      <c r="AJ81" s="169"/>
      <c r="AK81" s="169"/>
      <c r="AL81" s="169"/>
      <c r="AM81" s="169"/>
      <c r="AN81" s="169"/>
      <c r="AO81" s="169"/>
      <c r="AP81" s="169"/>
      <c r="AQ81" s="169"/>
      <c r="AR81" s="169"/>
      <c r="AS81" s="169"/>
      <c r="AT81" s="169"/>
      <c r="AU81" s="169"/>
      <c r="AV81" s="169"/>
      <c r="AW81" s="169"/>
      <c r="AX81" s="169"/>
      <c r="AY81" s="169"/>
      <c r="AZ81" s="169"/>
      <c r="BA81" s="30"/>
      <c r="BB81" s="30"/>
      <c r="BC81" s="30"/>
      <c r="BD81" s="3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30"/>
      <c r="BV81" s="171"/>
      <c r="BW81" s="171"/>
      <c r="BX81" s="171"/>
      <c r="BY81" s="171"/>
      <c r="BZ81" s="171"/>
      <c r="CA81" s="171"/>
      <c r="CB81" s="171"/>
      <c r="CC81" s="171"/>
      <c r="CD81" s="171"/>
      <c r="CE81" s="171"/>
      <c r="CF81" s="171"/>
      <c r="CG81" s="171"/>
      <c r="CH81" s="171"/>
      <c r="CI81" s="171"/>
      <c r="CJ81" s="171"/>
      <c r="CK81" s="171"/>
      <c r="CL81" s="171"/>
      <c r="CM81" s="171"/>
      <c r="CN81" s="171"/>
      <c r="CO81" s="171"/>
      <c r="CP81" s="171"/>
      <c r="CQ81" s="171"/>
      <c r="CR81" s="171"/>
      <c r="CS81" s="171"/>
      <c r="CT81" s="171"/>
      <c r="CU81" s="171"/>
      <c r="CV81" s="171"/>
      <c r="CW81" s="171"/>
      <c r="CX81" s="171"/>
      <c r="CY81" s="171"/>
      <c r="CZ81" s="171"/>
      <c r="DA81" s="171"/>
      <c r="DB81" s="30"/>
      <c r="DC81" s="30"/>
      <c r="DD81" s="30"/>
      <c r="DE81" s="125"/>
      <c r="DF81" s="29"/>
    </row>
    <row r="82" spans="1:110" ht="5.0999999999999996" customHeight="1" x14ac:dyDescent="0.25">
      <c r="A82" s="34"/>
      <c r="B82" s="34"/>
      <c r="C82" s="169" t="str">
        <f>IF(LEN(TRIM('4 доп.сведения'!B25))=0," ",'4 доп.сведения'!B26)</f>
        <v xml:space="preserve"> </v>
      </c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30"/>
      <c r="BB82" s="30"/>
      <c r="BC82" s="30"/>
      <c r="BD82" s="3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171"/>
      <c r="BW82" s="171"/>
      <c r="BX82" s="171"/>
      <c r="BY82" s="171"/>
      <c r="BZ82" s="171"/>
      <c r="CA82" s="171"/>
      <c r="CB82" s="171"/>
      <c r="CC82" s="171"/>
      <c r="CD82" s="171"/>
      <c r="CE82" s="171"/>
      <c r="CF82" s="171"/>
      <c r="CG82" s="171"/>
      <c r="CH82" s="171"/>
      <c r="CI82" s="171"/>
      <c r="CJ82" s="171"/>
      <c r="CK82" s="171"/>
      <c r="CL82" s="171"/>
      <c r="CM82" s="171"/>
      <c r="CN82" s="171"/>
      <c r="CO82" s="171"/>
      <c r="CP82" s="171"/>
      <c r="CQ82" s="171"/>
      <c r="CR82" s="171"/>
      <c r="CS82" s="171"/>
      <c r="CT82" s="171"/>
      <c r="CU82" s="171"/>
      <c r="CV82" s="171"/>
      <c r="CW82" s="171"/>
      <c r="CX82" s="171"/>
      <c r="CY82" s="171"/>
      <c r="CZ82" s="171"/>
      <c r="DA82" s="171"/>
      <c r="DB82" s="37"/>
      <c r="DC82" s="37"/>
      <c r="DD82" s="30"/>
      <c r="DE82" s="125"/>
      <c r="DF82" s="29"/>
    </row>
    <row r="83" spans="1:110" ht="5.0999999999999996" customHeight="1" x14ac:dyDescent="0.25">
      <c r="A83" s="34"/>
      <c r="B83" s="34"/>
      <c r="C83" s="169"/>
      <c r="D83" s="169"/>
      <c r="E83" s="169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69"/>
      <c r="U83" s="169"/>
      <c r="V83" s="169"/>
      <c r="W83" s="169"/>
      <c r="X83" s="169"/>
      <c r="Y83" s="169"/>
      <c r="Z83" s="169"/>
      <c r="AA83" s="169"/>
      <c r="AB83" s="169"/>
      <c r="AC83" s="169"/>
      <c r="AD83" s="169"/>
      <c r="AE83" s="169"/>
      <c r="AF83" s="169"/>
      <c r="AG83" s="169"/>
      <c r="AH83" s="169"/>
      <c r="AI83" s="169"/>
      <c r="AJ83" s="169"/>
      <c r="AK83" s="169"/>
      <c r="AL83" s="169"/>
      <c r="AM83" s="169"/>
      <c r="AN83" s="169"/>
      <c r="AO83" s="169"/>
      <c r="AP83" s="169"/>
      <c r="AQ83" s="169"/>
      <c r="AR83" s="169"/>
      <c r="AS83" s="169"/>
      <c r="AT83" s="169"/>
      <c r="AU83" s="169"/>
      <c r="AV83" s="169"/>
      <c r="AW83" s="169"/>
      <c r="AX83" s="169"/>
      <c r="AY83" s="169"/>
      <c r="AZ83" s="169"/>
      <c r="BA83" s="30"/>
      <c r="BB83" s="30"/>
      <c r="BC83" s="30"/>
      <c r="BD83" s="3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171"/>
      <c r="BW83" s="171"/>
      <c r="BX83" s="171"/>
      <c r="BY83" s="171"/>
      <c r="BZ83" s="171"/>
      <c r="CA83" s="171"/>
      <c r="CB83" s="171"/>
      <c r="CC83" s="171"/>
      <c r="CD83" s="171"/>
      <c r="CE83" s="171"/>
      <c r="CF83" s="171"/>
      <c r="CG83" s="171"/>
      <c r="CH83" s="171"/>
      <c r="CI83" s="171"/>
      <c r="CJ83" s="171"/>
      <c r="CK83" s="171"/>
      <c r="CL83" s="171"/>
      <c r="CM83" s="171"/>
      <c r="CN83" s="171"/>
      <c r="CO83" s="171"/>
      <c r="CP83" s="171"/>
      <c r="CQ83" s="171"/>
      <c r="CR83" s="171"/>
      <c r="CS83" s="171"/>
      <c r="CT83" s="171"/>
      <c r="CU83" s="171"/>
      <c r="CV83" s="171"/>
      <c r="CW83" s="171"/>
      <c r="CX83" s="171"/>
      <c r="CY83" s="171"/>
      <c r="CZ83" s="171"/>
      <c r="DA83" s="171"/>
      <c r="DB83" s="37"/>
      <c r="DC83" s="37"/>
      <c r="DD83" s="30"/>
      <c r="DE83" s="125"/>
      <c r="DF83" s="29"/>
    </row>
    <row r="84" spans="1:110" ht="5.0999999999999996" customHeight="1" x14ac:dyDescent="0.25">
      <c r="A84" s="34"/>
      <c r="B84" s="34"/>
      <c r="C84" s="169"/>
      <c r="D84" s="169"/>
      <c r="E84" s="169"/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169"/>
      <c r="R84" s="169"/>
      <c r="S84" s="169"/>
      <c r="T84" s="169"/>
      <c r="U84" s="169"/>
      <c r="V84" s="169"/>
      <c r="W84" s="169"/>
      <c r="X84" s="169"/>
      <c r="Y84" s="169"/>
      <c r="Z84" s="169"/>
      <c r="AA84" s="169"/>
      <c r="AB84" s="169"/>
      <c r="AC84" s="169"/>
      <c r="AD84" s="169"/>
      <c r="AE84" s="169"/>
      <c r="AF84" s="169"/>
      <c r="AG84" s="169"/>
      <c r="AH84" s="169"/>
      <c r="AI84" s="169"/>
      <c r="AJ84" s="169"/>
      <c r="AK84" s="169"/>
      <c r="AL84" s="169"/>
      <c r="AM84" s="169"/>
      <c r="AN84" s="169"/>
      <c r="AO84" s="169"/>
      <c r="AP84" s="169"/>
      <c r="AQ84" s="169"/>
      <c r="AR84" s="169"/>
      <c r="AS84" s="169"/>
      <c r="AT84" s="169"/>
      <c r="AU84" s="169"/>
      <c r="AV84" s="169"/>
      <c r="AW84" s="169"/>
      <c r="AX84" s="169"/>
      <c r="AY84" s="169"/>
      <c r="AZ84" s="169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40"/>
      <c r="BV84" s="171"/>
      <c r="BW84" s="171"/>
      <c r="BX84" s="171"/>
      <c r="BY84" s="171"/>
      <c r="BZ84" s="171"/>
      <c r="CA84" s="171"/>
      <c r="CB84" s="171"/>
      <c r="CC84" s="171"/>
      <c r="CD84" s="171"/>
      <c r="CE84" s="171"/>
      <c r="CF84" s="171"/>
      <c r="CG84" s="171"/>
      <c r="CH84" s="171"/>
      <c r="CI84" s="171"/>
      <c r="CJ84" s="171"/>
      <c r="CK84" s="171"/>
      <c r="CL84" s="171"/>
      <c r="CM84" s="171"/>
      <c r="CN84" s="171"/>
      <c r="CO84" s="171"/>
      <c r="CP84" s="171"/>
      <c r="CQ84" s="171"/>
      <c r="CR84" s="171"/>
      <c r="CS84" s="171"/>
      <c r="CT84" s="171"/>
      <c r="CU84" s="171"/>
      <c r="CV84" s="171"/>
      <c r="CW84" s="171"/>
      <c r="CX84" s="171"/>
      <c r="CY84" s="171"/>
      <c r="CZ84" s="171"/>
      <c r="DA84" s="171"/>
      <c r="DB84" s="37"/>
      <c r="DC84" s="37"/>
      <c r="DD84" s="30"/>
      <c r="DE84" s="125"/>
      <c r="DF84" s="29"/>
    </row>
    <row r="85" spans="1:110" ht="5.0999999999999996" customHeight="1" x14ac:dyDescent="0.25">
      <c r="A85" s="34"/>
      <c r="B85" s="34"/>
      <c r="C85" s="169" t="str">
        <f>IF(LEN(TRIM('4 доп.сведения'!B55))=0," ",'4 доп.сведения'!B55)</f>
        <v xml:space="preserve"> </v>
      </c>
      <c r="D85" s="169"/>
      <c r="E85" s="169"/>
      <c r="F85" s="169"/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169"/>
      <c r="R85" s="169"/>
      <c r="S85" s="169"/>
      <c r="T85" s="169"/>
      <c r="U85" s="169"/>
      <c r="V85" s="169"/>
      <c r="W85" s="169"/>
      <c r="X85" s="169"/>
      <c r="Y85" s="169"/>
      <c r="Z85" s="169"/>
      <c r="AA85" s="169"/>
      <c r="AB85" s="169"/>
      <c r="AC85" s="169"/>
      <c r="AD85" s="169"/>
      <c r="AE85" s="169"/>
      <c r="AF85" s="169"/>
      <c r="AG85" s="169"/>
      <c r="AH85" s="169"/>
      <c r="AI85" s="169"/>
      <c r="AJ85" s="169"/>
      <c r="AK85" s="169"/>
      <c r="AL85" s="169"/>
      <c r="AM85" s="169"/>
      <c r="AN85" s="169"/>
      <c r="AO85" s="169"/>
      <c r="AP85" s="169"/>
      <c r="AQ85" s="169"/>
      <c r="AR85" s="169"/>
      <c r="AS85" s="169"/>
      <c r="AT85" s="169"/>
      <c r="AU85" s="169"/>
      <c r="AV85" s="169"/>
      <c r="AW85" s="169"/>
      <c r="AX85" s="169"/>
      <c r="AY85" s="169"/>
      <c r="AZ85" s="169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40"/>
      <c r="BV85" s="171"/>
      <c r="BW85" s="171"/>
      <c r="BX85" s="171"/>
      <c r="BY85" s="171"/>
      <c r="BZ85" s="171"/>
      <c r="CA85" s="171"/>
      <c r="CB85" s="171"/>
      <c r="CC85" s="171"/>
      <c r="CD85" s="171"/>
      <c r="CE85" s="171"/>
      <c r="CF85" s="171"/>
      <c r="CG85" s="171"/>
      <c r="CH85" s="171"/>
      <c r="CI85" s="171"/>
      <c r="CJ85" s="171"/>
      <c r="CK85" s="171"/>
      <c r="CL85" s="171"/>
      <c r="CM85" s="171"/>
      <c r="CN85" s="171"/>
      <c r="CO85" s="171"/>
      <c r="CP85" s="171"/>
      <c r="CQ85" s="171"/>
      <c r="CR85" s="171"/>
      <c r="CS85" s="171"/>
      <c r="CT85" s="171"/>
      <c r="CU85" s="171"/>
      <c r="CV85" s="171"/>
      <c r="CW85" s="171"/>
      <c r="CX85" s="171"/>
      <c r="CY85" s="171"/>
      <c r="CZ85" s="171"/>
      <c r="DA85" s="171"/>
      <c r="DB85" s="37"/>
      <c r="DC85" s="37"/>
      <c r="DD85" s="30"/>
      <c r="DE85" s="125"/>
      <c r="DF85" s="29"/>
    </row>
    <row r="86" spans="1:110" ht="5.0999999999999996" customHeight="1" x14ac:dyDescent="0.25">
      <c r="A86" s="34"/>
      <c r="B86" s="34"/>
      <c r="C86" s="169"/>
      <c r="D86" s="169"/>
      <c r="E86" s="169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69"/>
      <c r="R86" s="169"/>
      <c r="S86" s="169"/>
      <c r="T86" s="169"/>
      <c r="U86" s="169"/>
      <c r="V86" s="169"/>
      <c r="W86" s="169"/>
      <c r="X86" s="169"/>
      <c r="Y86" s="169"/>
      <c r="Z86" s="169"/>
      <c r="AA86" s="169"/>
      <c r="AB86" s="169"/>
      <c r="AC86" s="169"/>
      <c r="AD86" s="169"/>
      <c r="AE86" s="169"/>
      <c r="AF86" s="169"/>
      <c r="AG86" s="169"/>
      <c r="AH86" s="169"/>
      <c r="AI86" s="169"/>
      <c r="AJ86" s="169"/>
      <c r="AK86" s="169"/>
      <c r="AL86" s="169"/>
      <c r="AM86" s="169"/>
      <c r="AN86" s="169"/>
      <c r="AO86" s="169"/>
      <c r="AP86" s="169"/>
      <c r="AQ86" s="169"/>
      <c r="AR86" s="169"/>
      <c r="AS86" s="169"/>
      <c r="AT86" s="169"/>
      <c r="AU86" s="169"/>
      <c r="AV86" s="169"/>
      <c r="AW86" s="169"/>
      <c r="AX86" s="169"/>
      <c r="AY86" s="169"/>
      <c r="AZ86" s="169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40"/>
      <c r="BV86" s="171"/>
      <c r="BW86" s="171"/>
      <c r="BX86" s="171"/>
      <c r="BY86" s="171"/>
      <c r="BZ86" s="171"/>
      <c r="CA86" s="171"/>
      <c r="CB86" s="171"/>
      <c r="CC86" s="171"/>
      <c r="CD86" s="171"/>
      <c r="CE86" s="171"/>
      <c r="CF86" s="171"/>
      <c r="CG86" s="171"/>
      <c r="CH86" s="171"/>
      <c r="CI86" s="171"/>
      <c r="CJ86" s="171"/>
      <c r="CK86" s="171"/>
      <c r="CL86" s="171"/>
      <c r="CM86" s="171"/>
      <c r="CN86" s="171"/>
      <c r="CO86" s="171"/>
      <c r="CP86" s="171"/>
      <c r="CQ86" s="171"/>
      <c r="CR86" s="171"/>
      <c r="CS86" s="171"/>
      <c r="CT86" s="171"/>
      <c r="CU86" s="171"/>
      <c r="CV86" s="171"/>
      <c r="CW86" s="171"/>
      <c r="CX86" s="171"/>
      <c r="CY86" s="171"/>
      <c r="CZ86" s="171"/>
      <c r="DA86" s="171"/>
      <c r="DB86" s="37"/>
      <c r="DC86" s="37"/>
      <c r="DD86" s="30"/>
      <c r="DE86" s="125"/>
      <c r="DF86" s="29"/>
    </row>
    <row r="87" spans="1:110" ht="5.0999999999999996" customHeight="1" x14ac:dyDescent="0.25">
      <c r="A87" s="34"/>
      <c r="B87" s="34"/>
      <c r="C87" s="169"/>
      <c r="D87" s="169"/>
      <c r="E87" s="169"/>
      <c r="F87" s="169"/>
      <c r="G87" s="169"/>
      <c r="H87" s="169"/>
      <c r="I87" s="169"/>
      <c r="J87" s="169"/>
      <c r="K87" s="169"/>
      <c r="L87" s="169"/>
      <c r="M87" s="169"/>
      <c r="N87" s="169"/>
      <c r="O87" s="169"/>
      <c r="P87" s="169"/>
      <c r="Q87" s="169"/>
      <c r="R87" s="169"/>
      <c r="S87" s="169"/>
      <c r="T87" s="169"/>
      <c r="U87" s="169"/>
      <c r="V87" s="169"/>
      <c r="W87" s="169"/>
      <c r="X87" s="169"/>
      <c r="Y87" s="169"/>
      <c r="Z87" s="169"/>
      <c r="AA87" s="169"/>
      <c r="AB87" s="169"/>
      <c r="AC87" s="169"/>
      <c r="AD87" s="169"/>
      <c r="AE87" s="169"/>
      <c r="AF87" s="169"/>
      <c r="AG87" s="169"/>
      <c r="AH87" s="169"/>
      <c r="AI87" s="169"/>
      <c r="AJ87" s="169"/>
      <c r="AK87" s="169"/>
      <c r="AL87" s="169"/>
      <c r="AM87" s="169"/>
      <c r="AN87" s="169"/>
      <c r="AO87" s="169"/>
      <c r="AP87" s="169"/>
      <c r="AQ87" s="169"/>
      <c r="AR87" s="169"/>
      <c r="AS87" s="169"/>
      <c r="AT87" s="169"/>
      <c r="AU87" s="169"/>
      <c r="AV87" s="169"/>
      <c r="AW87" s="169"/>
      <c r="AX87" s="169"/>
      <c r="AY87" s="169"/>
      <c r="AZ87" s="169"/>
      <c r="BA87" s="30"/>
      <c r="BB87" s="30"/>
      <c r="BC87" s="30"/>
      <c r="BD87" s="30"/>
      <c r="BE87" s="169" t="str">
        <f>IF(Диплом!B4=""," ",Диплом!B4)</f>
        <v xml:space="preserve"> </v>
      </c>
      <c r="BF87" s="169"/>
      <c r="BG87" s="169"/>
      <c r="BH87" s="169"/>
      <c r="BI87" s="169"/>
      <c r="BJ87" s="169"/>
      <c r="BK87" s="169"/>
      <c r="BL87" s="169"/>
      <c r="BM87" s="169"/>
      <c r="BN87" s="169"/>
      <c r="BO87" s="169"/>
      <c r="BP87" s="169"/>
      <c r="BQ87" s="169"/>
      <c r="BR87" s="169"/>
      <c r="BS87" s="169"/>
      <c r="BT87" s="169"/>
      <c r="BU87" s="40"/>
      <c r="BV87" s="171"/>
      <c r="BW87" s="171"/>
      <c r="BX87" s="171"/>
      <c r="BY87" s="171"/>
      <c r="BZ87" s="171"/>
      <c r="CA87" s="171"/>
      <c r="CB87" s="171"/>
      <c r="CC87" s="171"/>
      <c r="CD87" s="171"/>
      <c r="CE87" s="171"/>
      <c r="CF87" s="171"/>
      <c r="CG87" s="171"/>
      <c r="CH87" s="171"/>
      <c r="CI87" s="171"/>
      <c r="CJ87" s="171"/>
      <c r="CK87" s="171"/>
      <c r="CL87" s="171"/>
      <c r="CM87" s="171"/>
      <c r="CN87" s="171"/>
      <c r="CO87" s="171"/>
      <c r="CP87" s="171"/>
      <c r="CQ87" s="171"/>
      <c r="CR87" s="171"/>
      <c r="CS87" s="171"/>
      <c r="CT87" s="171"/>
      <c r="CU87" s="171"/>
      <c r="CV87" s="171"/>
      <c r="CW87" s="171"/>
      <c r="CX87" s="171"/>
      <c r="CY87" s="171"/>
      <c r="CZ87" s="171"/>
      <c r="DA87" s="171"/>
      <c r="DB87" s="37"/>
      <c r="DC87" s="37"/>
      <c r="DD87" s="30"/>
      <c r="DE87" s="125"/>
      <c r="DF87" s="29"/>
    </row>
    <row r="88" spans="1:110" ht="5.0999999999999996" customHeight="1" x14ac:dyDescent="0.25">
      <c r="A88" s="34"/>
      <c r="B88" s="34"/>
      <c r="C88" s="169" t="str">
        <f>IF(LEN(TRIM('4 доп.сведения'!B58))=0," ",'4 доп.сведения'!B58)</f>
        <v xml:space="preserve"> </v>
      </c>
      <c r="D88" s="169"/>
      <c r="E88" s="169"/>
      <c r="F88" s="169"/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169"/>
      <c r="R88" s="169"/>
      <c r="S88" s="169"/>
      <c r="T88" s="169"/>
      <c r="U88" s="169"/>
      <c r="V88" s="169"/>
      <c r="W88" s="169"/>
      <c r="X88" s="169"/>
      <c r="Y88" s="169"/>
      <c r="Z88" s="169"/>
      <c r="AA88" s="169"/>
      <c r="AB88" s="169"/>
      <c r="AC88" s="169"/>
      <c r="AD88" s="169"/>
      <c r="AE88" s="169"/>
      <c r="AF88" s="169"/>
      <c r="AG88" s="169"/>
      <c r="AH88" s="169"/>
      <c r="AI88" s="169"/>
      <c r="AJ88" s="169"/>
      <c r="AK88" s="169"/>
      <c r="AL88" s="169"/>
      <c r="AM88" s="169"/>
      <c r="AN88" s="169"/>
      <c r="AO88" s="169"/>
      <c r="AP88" s="169"/>
      <c r="AQ88" s="169"/>
      <c r="AR88" s="169"/>
      <c r="AS88" s="169"/>
      <c r="AT88" s="169"/>
      <c r="AU88" s="169"/>
      <c r="AV88" s="169"/>
      <c r="AW88" s="169"/>
      <c r="AX88" s="169"/>
      <c r="AY88" s="169"/>
      <c r="AZ88" s="169"/>
      <c r="BA88" s="30"/>
      <c r="BB88" s="30"/>
      <c r="BC88" s="30"/>
      <c r="BD88" s="30"/>
      <c r="BE88" s="169"/>
      <c r="BF88" s="169"/>
      <c r="BG88" s="169"/>
      <c r="BH88" s="169"/>
      <c r="BI88" s="169"/>
      <c r="BJ88" s="169"/>
      <c r="BK88" s="169"/>
      <c r="BL88" s="169"/>
      <c r="BM88" s="169"/>
      <c r="BN88" s="169"/>
      <c r="BO88" s="169"/>
      <c r="BP88" s="169"/>
      <c r="BQ88" s="169"/>
      <c r="BR88" s="169"/>
      <c r="BS88" s="169"/>
      <c r="BT88" s="169"/>
      <c r="BU88" s="41"/>
      <c r="BV88" s="171"/>
      <c r="BW88" s="171"/>
      <c r="BX88" s="171"/>
      <c r="BY88" s="171"/>
      <c r="BZ88" s="171"/>
      <c r="CA88" s="171"/>
      <c r="CB88" s="171"/>
      <c r="CC88" s="171"/>
      <c r="CD88" s="171"/>
      <c r="CE88" s="171"/>
      <c r="CF88" s="171"/>
      <c r="CG88" s="171"/>
      <c r="CH88" s="171"/>
      <c r="CI88" s="171"/>
      <c r="CJ88" s="171"/>
      <c r="CK88" s="171"/>
      <c r="CL88" s="171"/>
      <c r="CM88" s="171"/>
      <c r="CN88" s="171"/>
      <c r="CO88" s="171"/>
      <c r="CP88" s="171"/>
      <c r="CQ88" s="171"/>
      <c r="CR88" s="171"/>
      <c r="CS88" s="171"/>
      <c r="CT88" s="171"/>
      <c r="CU88" s="171"/>
      <c r="CV88" s="171"/>
      <c r="CW88" s="171"/>
      <c r="CX88" s="171"/>
      <c r="CY88" s="171"/>
      <c r="CZ88" s="171"/>
      <c r="DA88" s="171"/>
      <c r="DB88" s="37"/>
      <c r="DC88" s="37"/>
      <c r="DD88" s="30"/>
      <c r="DE88" s="125"/>
      <c r="DF88" s="29"/>
    </row>
    <row r="89" spans="1:110" ht="5.0999999999999996" customHeight="1" x14ac:dyDescent="0.25">
      <c r="A89" s="34"/>
      <c r="B89" s="34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169"/>
      <c r="AM89" s="169"/>
      <c r="AN89" s="169"/>
      <c r="AO89" s="169"/>
      <c r="AP89" s="169"/>
      <c r="AQ89" s="169"/>
      <c r="AR89" s="169"/>
      <c r="AS89" s="169"/>
      <c r="AT89" s="169"/>
      <c r="AU89" s="169"/>
      <c r="AV89" s="169"/>
      <c r="AW89" s="169"/>
      <c r="AX89" s="169"/>
      <c r="AY89" s="169"/>
      <c r="AZ89" s="169"/>
      <c r="BA89" s="30"/>
      <c r="BB89" s="30"/>
      <c r="BC89" s="30"/>
      <c r="BD89" s="30"/>
      <c r="BE89" s="169"/>
      <c r="BF89" s="169"/>
      <c r="BG89" s="169"/>
      <c r="BH89" s="169"/>
      <c r="BI89" s="169"/>
      <c r="BJ89" s="169"/>
      <c r="BK89" s="169"/>
      <c r="BL89" s="169"/>
      <c r="BM89" s="169"/>
      <c r="BN89" s="169"/>
      <c r="BO89" s="169"/>
      <c r="BP89" s="169"/>
      <c r="BQ89" s="169"/>
      <c r="BR89" s="169"/>
      <c r="BS89" s="169"/>
      <c r="BT89" s="169"/>
      <c r="BU89" s="41"/>
      <c r="BV89" s="41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0"/>
      <c r="DE89" s="125"/>
      <c r="DF89" s="29"/>
    </row>
    <row r="90" spans="1:110" ht="5.0999999999999996" customHeight="1" x14ac:dyDescent="0.25">
      <c r="A90" s="34"/>
      <c r="B90" s="34"/>
      <c r="C90" s="169"/>
      <c r="D90" s="169"/>
      <c r="E90" s="169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169"/>
      <c r="R90" s="169"/>
      <c r="S90" s="169"/>
      <c r="T90" s="169"/>
      <c r="U90" s="169"/>
      <c r="V90" s="169"/>
      <c r="W90" s="169"/>
      <c r="X90" s="169"/>
      <c r="Y90" s="169"/>
      <c r="Z90" s="169"/>
      <c r="AA90" s="169"/>
      <c r="AB90" s="169"/>
      <c r="AC90" s="169"/>
      <c r="AD90" s="169"/>
      <c r="AE90" s="169"/>
      <c r="AF90" s="169"/>
      <c r="AG90" s="169"/>
      <c r="AH90" s="169"/>
      <c r="AI90" s="169"/>
      <c r="AJ90" s="169"/>
      <c r="AK90" s="169"/>
      <c r="AL90" s="169"/>
      <c r="AM90" s="169"/>
      <c r="AN90" s="169"/>
      <c r="AO90" s="169"/>
      <c r="AP90" s="169"/>
      <c r="AQ90" s="169"/>
      <c r="AR90" s="169"/>
      <c r="AS90" s="169"/>
      <c r="AT90" s="169"/>
      <c r="AU90" s="169"/>
      <c r="AV90" s="169"/>
      <c r="AW90" s="169"/>
      <c r="AX90" s="169"/>
      <c r="AY90" s="169"/>
      <c r="AZ90" s="169"/>
      <c r="BA90" s="30"/>
      <c r="BB90" s="30"/>
      <c r="BC90" s="30"/>
      <c r="BD90" s="30"/>
      <c r="BE90" s="169"/>
      <c r="BF90" s="169"/>
      <c r="BG90" s="169"/>
      <c r="BH90" s="169"/>
      <c r="BI90" s="169"/>
      <c r="BJ90" s="169"/>
      <c r="BK90" s="169"/>
      <c r="BL90" s="169"/>
      <c r="BM90" s="169"/>
      <c r="BN90" s="169"/>
      <c r="BO90" s="169"/>
      <c r="BP90" s="169"/>
      <c r="BQ90" s="169"/>
      <c r="BR90" s="169"/>
      <c r="BS90" s="169"/>
      <c r="BT90" s="169"/>
      <c r="BU90" s="41"/>
      <c r="BV90" s="41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C90" s="37"/>
      <c r="DD90" s="30"/>
      <c r="DE90" s="125"/>
      <c r="DF90" s="29"/>
    </row>
    <row r="91" spans="1:110" ht="5.0999999999999996" customHeight="1" x14ac:dyDescent="0.25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0"/>
      <c r="BB91" s="30"/>
      <c r="BC91" s="30"/>
      <c r="BD91" s="30"/>
      <c r="BE91" s="169"/>
      <c r="BF91" s="169"/>
      <c r="BG91" s="169"/>
      <c r="BH91" s="169"/>
      <c r="BI91" s="169"/>
      <c r="BJ91" s="169"/>
      <c r="BK91" s="169"/>
      <c r="BL91" s="169"/>
      <c r="BM91" s="169"/>
      <c r="BN91" s="169"/>
      <c r="BO91" s="169"/>
      <c r="BP91" s="169"/>
      <c r="BQ91" s="169"/>
      <c r="BR91" s="169"/>
      <c r="BS91" s="169"/>
      <c r="BT91" s="169"/>
      <c r="BU91" s="41"/>
      <c r="BV91" s="41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C91" s="37"/>
      <c r="DD91" s="30"/>
      <c r="DE91" s="125"/>
      <c r="DF91" s="29"/>
    </row>
    <row r="92" spans="1:110" ht="5.0999999999999996" customHeight="1" x14ac:dyDescent="0.25">
      <c r="A92" s="34"/>
      <c r="B92" s="34"/>
      <c r="C92" s="34"/>
      <c r="D92" s="34" t="str">
        <f>IF(LEN(TRIM('4 доп.сведения'!B35))=0," ",'4 доп.сведения'!B35)</f>
        <v xml:space="preserve"> </v>
      </c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 t="str">
        <f>IF(LEN(TRIM('4 доп.сведения'!C35))=0," ",'4 доп.сведения'!C35)</f>
        <v xml:space="preserve"> </v>
      </c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0"/>
      <c r="BB92" s="30"/>
      <c r="BC92" s="30"/>
      <c r="BD92" s="30"/>
      <c r="BE92" s="169"/>
      <c r="BF92" s="169"/>
      <c r="BG92" s="169"/>
      <c r="BH92" s="169"/>
      <c r="BI92" s="169"/>
      <c r="BJ92" s="169"/>
      <c r="BK92" s="169"/>
      <c r="BL92" s="169"/>
      <c r="BM92" s="169"/>
      <c r="BN92" s="169"/>
      <c r="BO92" s="169"/>
      <c r="BP92" s="169"/>
      <c r="BQ92" s="169"/>
      <c r="BR92" s="169"/>
      <c r="BS92" s="169"/>
      <c r="BT92" s="169"/>
      <c r="BU92" s="41"/>
      <c r="BV92" s="41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C92" s="37"/>
      <c r="DD92" s="30"/>
      <c r="DE92" s="125"/>
      <c r="DF92" s="29"/>
    </row>
    <row r="93" spans="1:110" ht="5.0999999999999996" customHeight="1" x14ac:dyDescent="0.25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0"/>
      <c r="BB93" s="30"/>
      <c r="BC93" s="30"/>
      <c r="BD93" s="30"/>
      <c r="BE93" s="169"/>
      <c r="BF93" s="169"/>
      <c r="BG93" s="169"/>
      <c r="BH93" s="169"/>
      <c r="BI93" s="169"/>
      <c r="BJ93" s="169"/>
      <c r="BK93" s="169"/>
      <c r="BL93" s="169"/>
      <c r="BM93" s="169"/>
      <c r="BN93" s="169"/>
      <c r="BO93" s="169"/>
      <c r="BP93" s="169"/>
      <c r="BQ93" s="169"/>
      <c r="BR93" s="169"/>
      <c r="BS93" s="169"/>
      <c r="BT93" s="169"/>
      <c r="BU93" s="41"/>
      <c r="BV93" s="41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  <c r="DD93" s="30"/>
      <c r="DE93" s="125"/>
      <c r="DF93" s="29"/>
    </row>
    <row r="94" spans="1:110" ht="5.0999999999999996" customHeight="1" x14ac:dyDescent="0.25">
      <c r="A94" s="34"/>
      <c r="B94" s="34"/>
      <c r="C94" s="34"/>
      <c r="D94" s="34" t="str">
        <f>IF(LEN(TRIM('4 доп.сведения'!B36))=0," ",'4 доп.сведения'!B36)</f>
        <v xml:space="preserve"> </v>
      </c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 t="str">
        <f>IF(LEN(TRIM('4 доп.сведения'!C36))=0," ",'4 доп.сведения'!C36)</f>
        <v xml:space="preserve"> </v>
      </c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0"/>
      <c r="BB94" s="30"/>
      <c r="BC94" s="30"/>
      <c r="BD94" s="30"/>
      <c r="BE94" s="169"/>
      <c r="BF94" s="169"/>
      <c r="BG94" s="169"/>
      <c r="BH94" s="169"/>
      <c r="BI94" s="169"/>
      <c r="BJ94" s="169"/>
      <c r="BK94" s="169"/>
      <c r="BL94" s="169"/>
      <c r="BM94" s="169"/>
      <c r="BN94" s="169"/>
      <c r="BO94" s="169"/>
      <c r="BP94" s="169"/>
      <c r="BQ94" s="169"/>
      <c r="BR94" s="169"/>
      <c r="BS94" s="169"/>
      <c r="BT94" s="169"/>
      <c r="BU94" s="41"/>
      <c r="BV94" s="41"/>
      <c r="BW94" s="47"/>
      <c r="BX94" s="47"/>
      <c r="BY94" s="47"/>
      <c r="BZ94" s="47"/>
      <c r="CA94" s="47"/>
      <c r="CB94" s="47"/>
      <c r="CC94" s="47"/>
      <c r="CD94" s="47"/>
      <c r="CE94" s="47"/>
      <c r="CF94" s="4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30"/>
      <c r="DE94" s="125"/>
      <c r="DF94" s="29"/>
    </row>
    <row r="95" spans="1:110" ht="5.0999999999999996" customHeight="1" x14ac:dyDescent="0.2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0"/>
      <c r="BB95" s="30"/>
      <c r="BC95" s="30"/>
      <c r="BD95" s="30"/>
      <c r="BE95" s="169"/>
      <c r="BF95" s="169"/>
      <c r="BG95" s="169"/>
      <c r="BH95" s="169"/>
      <c r="BI95" s="169"/>
      <c r="BJ95" s="169"/>
      <c r="BK95" s="169"/>
      <c r="BL95" s="169"/>
      <c r="BM95" s="169"/>
      <c r="BN95" s="169"/>
      <c r="BO95" s="169"/>
      <c r="BP95" s="169"/>
      <c r="BQ95" s="169"/>
      <c r="BR95" s="169"/>
      <c r="BS95" s="169"/>
      <c r="BT95" s="169"/>
      <c r="BU95" s="41"/>
      <c r="BV95" s="41"/>
      <c r="BW95" s="47"/>
      <c r="BX95" s="47"/>
      <c r="BY95" s="47"/>
      <c r="BZ95" s="47"/>
      <c r="CA95" s="47"/>
      <c r="CB95" s="47"/>
      <c r="CC95" s="47"/>
      <c r="CD95" s="47"/>
      <c r="CE95" s="47"/>
      <c r="CF95" s="4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47"/>
      <c r="CZ95" s="47"/>
      <c r="DA95" s="47"/>
      <c r="DB95" s="47"/>
      <c r="DC95" s="47"/>
      <c r="DD95" s="30"/>
      <c r="DE95" s="125"/>
      <c r="DF95" s="29"/>
    </row>
    <row r="96" spans="1:110" ht="5.0999999999999996" customHeight="1" x14ac:dyDescent="0.25">
      <c r="A96" s="34"/>
      <c r="B96" s="34"/>
      <c r="C96" s="34"/>
      <c r="D96" s="34" t="str">
        <f>IF(LEN(TRIM('4 доп.сведения'!B37))=0," ",'4 доп.сведения'!B37)</f>
        <v xml:space="preserve"> </v>
      </c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 t="str">
        <f>IF(LEN(TRIM('4 доп.сведения'!C37))=0," ",'4 доп.сведения'!C37)</f>
        <v xml:space="preserve"> </v>
      </c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41"/>
      <c r="BV96" s="41"/>
      <c r="BW96" s="47"/>
      <c r="BX96" s="47"/>
      <c r="BY96" s="47"/>
      <c r="BZ96" s="47"/>
      <c r="CA96" s="47"/>
      <c r="CB96" s="47"/>
      <c r="CC96" s="47"/>
      <c r="CD96" s="47"/>
      <c r="CE96" s="47"/>
      <c r="CF96" s="4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30"/>
      <c r="DE96" s="125"/>
      <c r="DF96" s="29"/>
    </row>
    <row r="97" spans="1:110" ht="5.0999999999999996" customHeight="1" x14ac:dyDescent="0.25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41"/>
      <c r="BV97" s="41"/>
      <c r="BW97" s="47"/>
      <c r="BX97" s="47"/>
      <c r="BY97" s="47"/>
      <c r="BZ97" s="47"/>
      <c r="CA97" s="47"/>
      <c r="CB97" s="47"/>
      <c r="CC97" s="47"/>
      <c r="CD97" s="47"/>
      <c r="CE97" s="47"/>
      <c r="CF97" s="4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47"/>
      <c r="CZ97" s="47"/>
      <c r="DA97" s="47"/>
      <c r="DB97" s="47"/>
      <c r="DC97" s="47"/>
      <c r="DD97" s="30"/>
      <c r="DE97" s="125"/>
      <c r="DF97" s="29"/>
    </row>
    <row r="98" spans="1:110" ht="5.0999999999999996" customHeight="1" x14ac:dyDescent="0.25">
      <c r="A98" s="34"/>
      <c r="B98" s="34"/>
      <c r="C98" s="34"/>
      <c r="D98" s="34" t="str">
        <f>IF(LEN(TRIM('4 доп.сведения'!B38))=0," ",'4 доп.сведения'!B38)</f>
        <v xml:space="preserve"> </v>
      </c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 t="str">
        <f>IF(LEN(TRIM('4 доп.сведения'!C38))=0," ",'4 доп.сведения'!C38)</f>
        <v xml:space="preserve"> </v>
      </c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  <c r="CF98" s="41"/>
      <c r="CG98" s="41"/>
      <c r="CH98" s="41"/>
      <c r="CI98" s="41"/>
      <c r="CJ98" s="41"/>
      <c r="CK98" s="41"/>
      <c r="CL98" s="41"/>
      <c r="CM98" s="41"/>
      <c r="CN98" s="41"/>
      <c r="CO98" s="41"/>
      <c r="CP98" s="41"/>
      <c r="CQ98" s="41"/>
      <c r="CR98" s="41"/>
      <c r="CS98" s="41"/>
      <c r="CT98" s="41"/>
      <c r="CU98" s="41"/>
      <c r="CV98" s="41"/>
      <c r="CW98" s="41"/>
      <c r="CX98" s="41"/>
      <c r="CY98" s="41"/>
      <c r="CZ98" s="41"/>
      <c r="DA98" s="41"/>
      <c r="DB98" s="41"/>
      <c r="DC98" s="41"/>
      <c r="DD98" s="30"/>
      <c r="DE98" s="125"/>
      <c r="DF98" s="29"/>
    </row>
    <row r="99" spans="1:110" ht="5.0999999999999996" customHeight="1" x14ac:dyDescent="0.25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  <c r="CL99" s="41"/>
      <c r="CM99" s="41"/>
      <c r="CN99" s="41"/>
      <c r="CO99" s="41"/>
      <c r="CP99" s="41"/>
      <c r="CQ99" s="41"/>
      <c r="CR99" s="41"/>
      <c r="CS99" s="41"/>
      <c r="CT99" s="41"/>
      <c r="CU99" s="41"/>
      <c r="CV99" s="41"/>
      <c r="CW99" s="41"/>
      <c r="CX99" s="41"/>
      <c r="CY99" s="41"/>
      <c r="CZ99" s="41"/>
      <c r="DA99" s="41"/>
      <c r="DB99" s="41"/>
      <c r="DC99" s="41"/>
      <c r="DD99" s="30"/>
      <c r="DE99" s="125"/>
      <c r="DF99" s="29"/>
    </row>
    <row r="100" spans="1:110" ht="5.0999999999999996" customHeight="1" x14ac:dyDescent="0.25">
      <c r="A100" s="34"/>
      <c r="B100" s="34"/>
      <c r="C100" s="34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34"/>
      <c r="AL100" s="34"/>
      <c r="AM100" s="34"/>
      <c r="AN100" s="34"/>
      <c r="AO100" s="34"/>
      <c r="AP100" s="132"/>
      <c r="AQ100" s="132"/>
      <c r="AR100" s="132"/>
      <c r="AS100" s="132"/>
      <c r="AT100" s="132"/>
      <c r="AU100" s="132"/>
      <c r="AV100" s="132"/>
      <c r="AW100" s="132"/>
      <c r="AX100" s="132"/>
      <c r="AY100" s="132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  <c r="CN100" s="41"/>
      <c r="CO100" s="41"/>
      <c r="CP100" s="41"/>
      <c r="CQ100" s="41"/>
      <c r="CR100" s="41"/>
      <c r="CS100" s="41"/>
      <c r="CT100" s="41"/>
      <c r="CU100" s="41"/>
      <c r="CV100" s="41"/>
      <c r="CW100" s="41"/>
      <c r="CX100" s="41"/>
      <c r="CY100" s="41"/>
      <c r="CZ100" s="41"/>
      <c r="DA100" s="41"/>
      <c r="DB100" s="41"/>
      <c r="DC100" s="41"/>
      <c r="DD100" s="30"/>
      <c r="DE100" s="128"/>
      <c r="DF100" s="29"/>
    </row>
    <row r="101" spans="1:110" ht="5.0999999999999996" customHeight="1" x14ac:dyDescent="0.3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132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G101" s="40"/>
      <c r="CH101" s="40"/>
      <c r="CI101" s="40"/>
      <c r="CJ101" s="40"/>
      <c r="CK101" s="40"/>
      <c r="CL101" s="40"/>
      <c r="CM101" s="40"/>
      <c r="CN101" s="40"/>
      <c r="CO101" s="40"/>
      <c r="CP101" s="40"/>
      <c r="CQ101" s="40"/>
      <c r="CR101" s="40"/>
      <c r="CS101" s="40"/>
      <c r="CT101" s="40"/>
      <c r="CU101" s="40"/>
      <c r="CV101" s="40"/>
      <c r="CW101" s="40"/>
      <c r="CX101" s="40"/>
      <c r="CY101" s="40"/>
      <c r="CZ101" s="40"/>
      <c r="DA101" s="32"/>
      <c r="DB101" s="32"/>
      <c r="DC101" s="32"/>
      <c r="DD101" s="30"/>
      <c r="DE101" s="125"/>
      <c r="DF101" s="29"/>
    </row>
    <row r="102" spans="1:110" ht="5.0999999999999996" customHeight="1" x14ac:dyDescent="0.25">
      <c r="A102" s="30"/>
      <c r="B102" s="30"/>
      <c r="C102" s="30"/>
      <c r="D102" s="34" t="str">
        <f>IF(LEN(TRIM('4 доп.сведения'!B39))=0," ",'4 доп.сведения'!B39)</f>
        <v xml:space="preserve"> </v>
      </c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 t="str">
        <f>IF(LEN(TRIM('4 доп.сведения'!C39))=0," ",'4 доп.сведения'!C39)</f>
        <v xml:space="preserve"> </v>
      </c>
      <c r="AQ102" s="34"/>
      <c r="AR102" s="34"/>
      <c r="AS102" s="34"/>
      <c r="AT102" s="34"/>
      <c r="AU102" s="34"/>
      <c r="AV102" s="34"/>
      <c r="AW102" s="34"/>
      <c r="AX102" s="34"/>
      <c r="AY102" s="34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  <c r="CM102" s="41"/>
      <c r="CN102" s="41"/>
      <c r="CO102" s="41"/>
      <c r="CP102" s="41"/>
      <c r="CQ102" s="41"/>
      <c r="CR102" s="41"/>
      <c r="CS102" s="41"/>
      <c r="CT102" s="41"/>
      <c r="CU102" s="41"/>
      <c r="CV102" s="41"/>
      <c r="CW102" s="41"/>
      <c r="CX102" s="41"/>
      <c r="CY102" s="41"/>
      <c r="CZ102" s="41"/>
      <c r="DA102" s="41"/>
      <c r="DB102" s="41"/>
      <c r="DC102" s="41"/>
      <c r="DD102" s="30"/>
      <c r="DE102" s="125"/>
      <c r="DF102" s="29"/>
    </row>
    <row r="103" spans="1:110" ht="5.0999999999999996" customHeight="1" x14ac:dyDescent="0.25">
      <c r="A103" s="30"/>
      <c r="B103" s="30"/>
      <c r="C103" s="30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0"/>
      <c r="BA103" s="30"/>
      <c r="BB103" s="30"/>
      <c r="BC103" s="30"/>
      <c r="BD103" s="30"/>
      <c r="BE103" s="127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  <c r="CL103" s="41"/>
      <c r="CM103" s="41"/>
      <c r="CN103" s="41"/>
      <c r="CO103" s="41"/>
      <c r="CP103" s="41"/>
      <c r="CQ103" s="41"/>
      <c r="CR103" s="41"/>
      <c r="CS103" s="41"/>
      <c r="CT103" s="41"/>
      <c r="CU103" s="41"/>
      <c r="CV103" s="41"/>
      <c r="CW103" s="41"/>
      <c r="CX103" s="41"/>
      <c r="CY103" s="41"/>
      <c r="CZ103" s="41"/>
      <c r="DA103" s="41"/>
      <c r="DB103" s="41"/>
      <c r="DC103" s="41"/>
      <c r="DD103" s="30"/>
      <c r="DE103" s="125"/>
      <c r="DF103" s="29"/>
    </row>
    <row r="104" spans="1:110" ht="5.0999999999999996" customHeight="1" x14ac:dyDescent="0.25">
      <c r="A104" s="30"/>
      <c r="B104" s="30"/>
      <c r="C104" s="30"/>
      <c r="D104" s="34" t="str">
        <f>IF(LEN(TRIM('4 доп.сведения'!B40))=0," ",'4 доп.сведения'!B40)</f>
        <v xml:space="preserve"> </v>
      </c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 t="str">
        <f>IF(LEN(TRIM('4 доп.сведения'!C40))=0," ",'4 доп.сведения'!C40)</f>
        <v xml:space="preserve"> </v>
      </c>
      <c r="AQ104" s="34"/>
      <c r="AR104" s="34"/>
      <c r="AS104" s="34"/>
      <c r="AT104" s="34"/>
      <c r="AU104" s="34"/>
      <c r="AV104" s="34"/>
      <c r="AW104" s="34"/>
      <c r="AX104" s="34"/>
      <c r="AY104" s="34"/>
      <c r="AZ104" s="30"/>
      <c r="BA104" s="30"/>
      <c r="BB104" s="30"/>
      <c r="BC104" s="30"/>
      <c r="BD104" s="30"/>
      <c r="BE104" s="127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  <c r="CN104" s="41"/>
      <c r="CO104" s="41"/>
      <c r="CP104" s="41"/>
      <c r="CQ104" s="41"/>
      <c r="CR104" s="41"/>
      <c r="CS104" s="41"/>
      <c r="CT104" s="41"/>
      <c r="CU104" s="41"/>
      <c r="CV104" s="41"/>
      <c r="CW104" s="41"/>
      <c r="CX104" s="41"/>
      <c r="CY104" s="41"/>
      <c r="CZ104" s="41"/>
      <c r="DA104" s="41"/>
      <c r="DB104" s="41"/>
      <c r="DC104" s="41"/>
      <c r="DD104" s="30"/>
      <c r="DE104" s="125"/>
      <c r="DF104" s="29"/>
    </row>
    <row r="105" spans="1:110" ht="5.0999999999999996" customHeight="1" x14ac:dyDescent="0.25">
      <c r="A105" s="30"/>
      <c r="B105" s="30"/>
      <c r="C105" s="30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0"/>
      <c r="BA105" s="30"/>
      <c r="BB105" s="30"/>
      <c r="BC105" s="30"/>
      <c r="BD105" s="30"/>
      <c r="BE105" s="169"/>
      <c r="BF105" s="169"/>
      <c r="BG105" s="169"/>
      <c r="BH105" s="169"/>
      <c r="BI105" s="169"/>
      <c r="BJ105" s="169"/>
      <c r="BK105" s="169"/>
      <c r="BL105" s="169"/>
      <c r="BM105" s="169"/>
      <c r="BN105" s="169"/>
      <c r="BO105" s="169"/>
      <c r="BP105" s="169"/>
      <c r="BQ105" s="169"/>
      <c r="BR105" s="169"/>
      <c r="BS105" s="169"/>
      <c r="BT105" s="169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  <c r="CN105" s="41"/>
      <c r="CO105" s="41"/>
      <c r="CP105" s="41"/>
      <c r="CQ105" s="41"/>
      <c r="CR105" s="41"/>
      <c r="CS105" s="41"/>
      <c r="CT105" s="41"/>
      <c r="CU105" s="41"/>
      <c r="CV105" s="41"/>
      <c r="CW105" s="41"/>
      <c r="CX105" s="41"/>
      <c r="CY105" s="41"/>
      <c r="CZ105" s="41"/>
      <c r="DA105" s="41"/>
      <c r="DB105" s="41"/>
      <c r="DC105" s="41"/>
      <c r="DD105" s="30"/>
      <c r="DE105" s="125"/>
      <c r="DF105" s="29"/>
    </row>
    <row r="106" spans="1:110" ht="5.0999999999999996" customHeight="1" x14ac:dyDescent="0.25">
      <c r="A106" s="30"/>
      <c r="B106" s="30"/>
      <c r="C106" s="30"/>
      <c r="D106" s="34" t="str">
        <f>IF(LEN(TRIM('4 доп.сведения'!B41))=0," ",'4 доп.сведения'!B41)</f>
        <v xml:space="preserve"> </v>
      </c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42"/>
      <c r="AL106" s="42"/>
      <c r="AM106" s="42"/>
      <c r="AN106" s="42"/>
      <c r="AO106" s="42"/>
      <c r="AP106" s="34" t="str">
        <f>IF(LEN(TRIM('4 доп.сведения'!C41))=0," ",'4 доп.сведения'!C41)</f>
        <v xml:space="preserve"> </v>
      </c>
      <c r="AQ106" s="34"/>
      <c r="AR106" s="34"/>
      <c r="AS106" s="34"/>
      <c r="AT106" s="34"/>
      <c r="AU106" s="34"/>
      <c r="AV106" s="34"/>
      <c r="AW106" s="34"/>
      <c r="AX106" s="34"/>
      <c r="AY106" s="34"/>
      <c r="AZ106" s="42"/>
      <c r="BA106" s="42"/>
      <c r="BB106" s="42"/>
      <c r="BC106" s="42"/>
      <c r="BD106" s="42"/>
      <c r="BE106" s="169"/>
      <c r="BF106" s="169"/>
      <c r="BG106" s="169"/>
      <c r="BH106" s="169"/>
      <c r="BI106" s="169"/>
      <c r="BJ106" s="169"/>
      <c r="BK106" s="169"/>
      <c r="BL106" s="169"/>
      <c r="BM106" s="169"/>
      <c r="BN106" s="169"/>
      <c r="BO106" s="169"/>
      <c r="BP106" s="169"/>
      <c r="BQ106" s="169"/>
      <c r="BR106" s="169"/>
      <c r="BS106" s="169"/>
      <c r="BT106" s="169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  <c r="CM106" s="41"/>
      <c r="CN106" s="41"/>
      <c r="CO106" s="41"/>
      <c r="CP106" s="41"/>
      <c r="CQ106" s="41"/>
      <c r="CR106" s="41"/>
      <c r="CS106" s="41"/>
      <c r="CT106" s="41"/>
      <c r="CU106" s="41"/>
      <c r="CV106" s="41"/>
      <c r="CW106" s="41"/>
      <c r="CX106" s="41"/>
      <c r="CY106" s="41"/>
      <c r="CZ106" s="41"/>
      <c r="DA106" s="41"/>
      <c r="DB106" s="41"/>
      <c r="DC106" s="41"/>
      <c r="DD106" s="30"/>
      <c r="DE106" s="125"/>
      <c r="DF106" s="29"/>
    </row>
    <row r="107" spans="1:110" ht="5.0999999999999996" customHeight="1" x14ac:dyDescent="0.25">
      <c r="A107" s="30"/>
      <c r="B107" s="30"/>
      <c r="C107" s="30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42"/>
      <c r="AL107" s="42"/>
      <c r="AM107" s="42"/>
      <c r="AN107" s="42"/>
      <c r="AO107" s="42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42"/>
      <c r="BA107" s="42"/>
      <c r="BB107" s="42"/>
      <c r="BC107" s="42"/>
      <c r="BD107" s="42"/>
      <c r="BE107" s="169"/>
      <c r="BF107" s="169"/>
      <c r="BG107" s="169"/>
      <c r="BH107" s="169"/>
      <c r="BI107" s="169"/>
      <c r="BJ107" s="169"/>
      <c r="BK107" s="169"/>
      <c r="BL107" s="169"/>
      <c r="BM107" s="169"/>
      <c r="BN107" s="169"/>
      <c r="BO107" s="169"/>
      <c r="BP107" s="169"/>
      <c r="BQ107" s="169"/>
      <c r="BR107" s="169"/>
      <c r="BS107" s="169"/>
      <c r="BT107" s="169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  <c r="CL107" s="41"/>
      <c r="CM107" s="41"/>
      <c r="CN107" s="41"/>
      <c r="CO107" s="41"/>
      <c r="CP107" s="41"/>
      <c r="CQ107" s="41"/>
      <c r="CR107" s="41"/>
      <c r="CS107" s="41"/>
      <c r="CT107" s="41"/>
      <c r="CU107" s="41"/>
      <c r="CV107" s="41"/>
      <c r="CW107" s="41"/>
      <c r="CX107" s="41"/>
      <c r="CY107" s="41"/>
      <c r="CZ107" s="41"/>
      <c r="DA107" s="41"/>
      <c r="DB107" s="41"/>
      <c r="DC107" s="41"/>
      <c r="DD107" s="30"/>
      <c r="DE107" s="125"/>
      <c r="DF107" s="29"/>
    </row>
    <row r="108" spans="1:110" ht="5.0999999999999996" customHeight="1" x14ac:dyDescent="0.2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121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169"/>
      <c r="BF108" s="169"/>
      <c r="BG108" s="169"/>
      <c r="BH108" s="169"/>
      <c r="BI108" s="169"/>
      <c r="BJ108" s="169"/>
      <c r="BK108" s="169"/>
      <c r="BL108" s="169"/>
      <c r="BM108" s="169"/>
      <c r="BN108" s="169"/>
      <c r="BO108" s="169"/>
      <c r="BP108" s="169"/>
      <c r="BQ108" s="169"/>
      <c r="BR108" s="169"/>
      <c r="BS108" s="169"/>
      <c r="BT108" s="169"/>
      <c r="BU108" s="41"/>
      <c r="BV108" s="41"/>
      <c r="BW108" s="172"/>
      <c r="BX108" s="172"/>
      <c r="BY108" s="172"/>
      <c r="BZ108" s="172"/>
      <c r="CA108" s="172"/>
      <c r="CB108" s="172"/>
      <c r="CC108" s="172"/>
      <c r="CD108" s="172"/>
      <c r="CE108" s="172"/>
      <c r="CF108" s="172"/>
      <c r="CG108" s="172"/>
      <c r="CH108" s="172"/>
      <c r="CI108" s="172"/>
      <c r="CJ108" s="172"/>
      <c r="CK108" s="172"/>
      <c r="CL108" s="172"/>
      <c r="CM108" s="172"/>
      <c r="CN108" s="172"/>
      <c r="CO108" s="172"/>
      <c r="CP108" s="172"/>
      <c r="CQ108" s="172"/>
      <c r="CR108" s="172"/>
      <c r="CS108" s="172"/>
      <c r="CT108" s="172"/>
      <c r="CU108" s="172"/>
      <c r="CV108" s="172"/>
      <c r="CW108" s="172"/>
      <c r="CX108" s="172"/>
      <c r="CY108" s="172"/>
      <c r="CZ108" s="172"/>
      <c r="DA108" s="172"/>
      <c r="DB108" s="146"/>
      <c r="DC108" s="41"/>
      <c r="DD108" s="30"/>
      <c r="DE108" s="125"/>
      <c r="DF108" s="29"/>
    </row>
    <row r="109" spans="1:110" ht="5.0999999999999996" customHeight="1" x14ac:dyDescent="0.25">
      <c r="A109" s="30"/>
      <c r="B109" s="30"/>
      <c r="C109" s="30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169"/>
      <c r="BF109" s="169"/>
      <c r="BG109" s="169"/>
      <c r="BH109" s="169"/>
      <c r="BI109" s="169"/>
      <c r="BJ109" s="169"/>
      <c r="BK109" s="169"/>
      <c r="BL109" s="169"/>
      <c r="BM109" s="169"/>
      <c r="BN109" s="169"/>
      <c r="BO109" s="169"/>
      <c r="BP109" s="169"/>
      <c r="BQ109" s="169"/>
      <c r="BR109" s="169"/>
      <c r="BS109" s="169"/>
      <c r="BT109" s="169"/>
      <c r="BU109" s="41"/>
      <c r="BV109" s="41"/>
      <c r="BW109" s="172"/>
      <c r="BX109" s="172"/>
      <c r="BY109" s="172"/>
      <c r="BZ109" s="172"/>
      <c r="CA109" s="172"/>
      <c r="CB109" s="172"/>
      <c r="CC109" s="172"/>
      <c r="CD109" s="172"/>
      <c r="CE109" s="172"/>
      <c r="CF109" s="172"/>
      <c r="CG109" s="172"/>
      <c r="CH109" s="172"/>
      <c r="CI109" s="172"/>
      <c r="CJ109" s="172"/>
      <c r="CK109" s="172"/>
      <c r="CL109" s="172"/>
      <c r="CM109" s="172"/>
      <c r="CN109" s="172"/>
      <c r="CO109" s="172"/>
      <c r="CP109" s="172"/>
      <c r="CQ109" s="172"/>
      <c r="CR109" s="172"/>
      <c r="CS109" s="172"/>
      <c r="CT109" s="172"/>
      <c r="CU109" s="172"/>
      <c r="CV109" s="172"/>
      <c r="CW109" s="172"/>
      <c r="CX109" s="172"/>
      <c r="CY109" s="172"/>
      <c r="CZ109" s="172"/>
      <c r="DA109" s="172"/>
      <c r="DB109" s="146"/>
      <c r="DC109" s="41"/>
      <c r="DD109" s="30"/>
      <c r="DE109" s="125"/>
      <c r="DF109" s="29"/>
    </row>
    <row r="110" spans="1:110" ht="5.0999999999999996" customHeight="1" x14ac:dyDescent="0.25">
      <c r="A110" s="43"/>
      <c r="B110" s="43"/>
      <c r="C110" s="43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169"/>
      <c r="BF110" s="169"/>
      <c r="BG110" s="169"/>
      <c r="BH110" s="169"/>
      <c r="BI110" s="169"/>
      <c r="BJ110" s="169"/>
      <c r="BK110" s="169"/>
      <c r="BL110" s="169"/>
      <c r="BM110" s="169"/>
      <c r="BN110" s="169"/>
      <c r="BO110" s="169"/>
      <c r="BP110" s="169"/>
      <c r="BQ110" s="169"/>
      <c r="BR110" s="169"/>
      <c r="BS110" s="169"/>
      <c r="BT110" s="169"/>
      <c r="BU110" s="41"/>
      <c r="BV110" s="41"/>
      <c r="BW110" s="172"/>
      <c r="BX110" s="172"/>
      <c r="BY110" s="172"/>
      <c r="BZ110" s="172"/>
      <c r="CA110" s="172"/>
      <c r="CB110" s="172"/>
      <c r="CC110" s="172"/>
      <c r="CD110" s="172"/>
      <c r="CE110" s="172"/>
      <c r="CF110" s="172"/>
      <c r="CG110" s="172"/>
      <c r="CH110" s="172"/>
      <c r="CI110" s="172"/>
      <c r="CJ110" s="172"/>
      <c r="CK110" s="172"/>
      <c r="CL110" s="172"/>
      <c r="CM110" s="172"/>
      <c r="CN110" s="172"/>
      <c r="CO110" s="172"/>
      <c r="CP110" s="172"/>
      <c r="CQ110" s="172"/>
      <c r="CR110" s="172"/>
      <c r="CS110" s="172"/>
      <c r="CT110" s="172"/>
      <c r="CU110" s="172"/>
      <c r="CV110" s="172"/>
      <c r="CW110" s="172"/>
      <c r="CX110" s="172"/>
      <c r="CY110" s="172"/>
      <c r="CZ110" s="172"/>
      <c r="DA110" s="172"/>
      <c r="DB110" s="146"/>
      <c r="DC110" s="41"/>
      <c r="DD110" s="30"/>
      <c r="DE110" s="125"/>
      <c r="DF110" s="29"/>
    </row>
    <row r="111" spans="1:110" ht="5.0999999999999996" customHeight="1" x14ac:dyDescent="0.25">
      <c r="A111" s="43"/>
      <c r="B111" s="43"/>
      <c r="C111" s="43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1"/>
      <c r="BV111" s="41"/>
      <c r="BW111" s="172"/>
      <c r="BX111" s="172"/>
      <c r="BY111" s="172"/>
      <c r="BZ111" s="172"/>
      <c r="CA111" s="172"/>
      <c r="CB111" s="172"/>
      <c r="CC111" s="172"/>
      <c r="CD111" s="172"/>
      <c r="CE111" s="172"/>
      <c r="CF111" s="172"/>
      <c r="CG111" s="172"/>
      <c r="CH111" s="172"/>
      <c r="CI111" s="172"/>
      <c r="CJ111" s="172"/>
      <c r="CK111" s="172"/>
      <c r="CL111" s="172"/>
      <c r="CM111" s="172"/>
      <c r="CN111" s="172"/>
      <c r="CO111" s="172"/>
      <c r="CP111" s="172"/>
      <c r="CQ111" s="172"/>
      <c r="CR111" s="172"/>
      <c r="CS111" s="172"/>
      <c r="CT111" s="172"/>
      <c r="CU111" s="172"/>
      <c r="CV111" s="172"/>
      <c r="CW111" s="172"/>
      <c r="CX111" s="172"/>
      <c r="CY111" s="172"/>
      <c r="CZ111" s="172"/>
      <c r="DA111" s="172"/>
      <c r="DB111" s="146"/>
      <c r="DC111" s="41"/>
      <c r="DD111" s="30"/>
      <c r="DE111" s="125"/>
      <c r="DF111" s="29"/>
    </row>
    <row r="112" spans="1:110" ht="5.0999999999999996" customHeight="1" x14ac:dyDescent="0.25">
      <c r="A112" s="43"/>
      <c r="B112" s="43"/>
      <c r="C112" s="43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1"/>
      <c r="BV112" s="41"/>
      <c r="BW112" s="172"/>
      <c r="BX112" s="172"/>
      <c r="BY112" s="172"/>
      <c r="BZ112" s="172"/>
      <c r="CA112" s="172"/>
      <c r="CB112" s="172"/>
      <c r="CC112" s="172"/>
      <c r="CD112" s="172"/>
      <c r="CE112" s="172"/>
      <c r="CF112" s="172"/>
      <c r="CG112" s="172"/>
      <c r="CH112" s="172"/>
      <c r="CI112" s="172"/>
      <c r="CJ112" s="172"/>
      <c r="CK112" s="172"/>
      <c r="CL112" s="172"/>
      <c r="CM112" s="172"/>
      <c r="CN112" s="172"/>
      <c r="CO112" s="172"/>
      <c r="CP112" s="172"/>
      <c r="CQ112" s="172"/>
      <c r="CR112" s="172"/>
      <c r="CS112" s="172"/>
      <c r="CT112" s="172"/>
      <c r="CU112" s="172"/>
      <c r="CV112" s="172"/>
      <c r="CW112" s="172"/>
      <c r="CX112" s="172"/>
      <c r="CY112" s="172"/>
      <c r="CZ112" s="172"/>
      <c r="DA112" s="172"/>
      <c r="DB112" s="146"/>
      <c r="DC112" s="41"/>
      <c r="DD112" s="30"/>
      <c r="DE112" s="125"/>
      <c r="DF112" s="29"/>
    </row>
    <row r="113" spans="1:110" ht="5.0999999999999996" customHeight="1" x14ac:dyDescent="0.25">
      <c r="A113" s="43"/>
      <c r="B113" s="43"/>
      <c r="C113" s="43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41"/>
      <c r="BV113" s="41"/>
      <c r="BW113" s="172"/>
      <c r="BX113" s="172"/>
      <c r="BY113" s="172"/>
      <c r="BZ113" s="172"/>
      <c r="CA113" s="172"/>
      <c r="CB113" s="172"/>
      <c r="CC113" s="172"/>
      <c r="CD113" s="172"/>
      <c r="CE113" s="172"/>
      <c r="CF113" s="172"/>
      <c r="CG113" s="172"/>
      <c r="CH113" s="172"/>
      <c r="CI113" s="172"/>
      <c r="CJ113" s="172"/>
      <c r="CK113" s="172"/>
      <c r="CL113" s="172"/>
      <c r="CM113" s="172"/>
      <c r="CN113" s="172"/>
      <c r="CO113" s="172"/>
      <c r="CP113" s="172"/>
      <c r="CQ113" s="172"/>
      <c r="CR113" s="172"/>
      <c r="CS113" s="172"/>
      <c r="CT113" s="172"/>
      <c r="CU113" s="172"/>
      <c r="CV113" s="172"/>
      <c r="CW113" s="172"/>
      <c r="CX113" s="172"/>
      <c r="CY113" s="172"/>
      <c r="CZ113" s="172"/>
      <c r="DA113" s="172"/>
      <c r="DB113" s="146"/>
      <c r="DC113" s="41"/>
      <c r="DD113" s="30"/>
      <c r="DE113" s="125"/>
      <c r="DF113" s="29"/>
    </row>
    <row r="114" spans="1:110" ht="5.0999999999999996" customHeight="1" x14ac:dyDescent="0.25">
      <c r="A114" s="43"/>
      <c r="B114" s="43"/>
      <c r="C114" s="43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  <c r="AK114" s="101"/>
      <c r="AL114" s="101"/>
      <c r="AM114" s="101"/>
      <c r="AN114" s="101"/>
      <c r="AO114" s="101"/>
      <c r="AP114" s="101"/>
      <c r="AQ114" s="101"/>
      <c r="AR114" s="101"/>
      <c r="AS114" s="101"/>
      <c r="AT114" s="101"/>
      <c r="AU114" s="101"/>
      <c r="AV114" s="101"/>
      <c r="AW114" s="101"/>
      <c r="AX114" s="101"/>
      <c r="AY114" s="101"/>
      <c r="AZ114" s="101"/>
      <c r="BA114" s="42"/>
      <c r="BB114" s="42"/>
      <c r="BC114" s="42"/>
      <c r="BD114" s="42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41"/>
      <c r="BV114" s="41"/>
      <c r="BW114" s="172"/>
      <c r="BX114" s="172"/>
      <c r="BY114" s="172"/>
      <c r="BZ114" s="172"/>
      <c r="CA114" s="172"/>
      <c r="CB114" s="172"/>
      <c r="CC114" s="172"/>
      <c r="CD114" s="172"/>
      <c r="CE114" s="172"/>
      <c r="CF114" s="172"/>
      <c r="CG114" s="172"/>
      <c r="CH114" s="172"/>
      <c r="CI114" s="172"/>
      <c r="CJ114" s="172"/>
      <c r="CK114" s="172"/>
      <c r="CL114" s="172"/>
      <c r="CM114" s="172"/>
      <c r="CN114" s="172"/>
      <c r="CO114" s="172"/>
      <c r="CP114" s="172"/>
      <c r="CQ114" s="172"/>
      <c r="CR114" s="172"/>
      <c r="CS114" s="172"/>
      <c r="CT114" s="172"/>
      <c r="CU114" s="172"/>
      <c r="CV114" s="172"/>
      <c r="CW114" s="172"/>
      <c r="CX114" s="172"/>
      <c r="CY114" s="172"/>
      <c r="CZ114" s="172"/>
      <c r="DA114" s="172"/>
      <c r="DB114" s="146"/>
      <c r="DC114" s="41"/>
      <c r="DD114" s="30"/>
      <c r="DE114" s="125"/>
      <c r="DF114" s="29"/>
    </row>
    <row r="115" spans="1:110" ht="5.0999999999999996" customHeight="1" x14ac:dyDescent="0.25">
      <c r="A115" s="43"/>
      <c r="B115" s="43"/>
      <c r="C115" s="43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  <c r="AX115" s="101"/>
      <c r="AY115" s="101"/>
      <c r="AZ115" s="101"/>
      <c r="BA115" s="42"/>
      <c r="BB115" s="42"/>
      <c r="BC115" s="42"/>
      <c r="BD115" s="42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41"/>
      <c r="BV115" s="41"/>
      <c r="BW115" s="172"/>
      <c r="BX115" s="172"/>
      <c r="BY115" s="172"/>
      <c r="BZ115" s="172"/>
      <c r="CA115" s="172"/>
      <c r="CB115" s="172"/>
      <c r="CC115" s="172"/>
      <c r="CD115" s="172"/>
      <c r="CE115" s="172"/>
      <c r="CF115" s="172"/>
      <c r="CG115" s="172"/>
      <c r="CH115" s="172"/>
      <c r="CI115" s="172"/>
      <c r="CJ115" s="172"/>
      <c r="CK115" s="172"/>
      <c r="CL115" s="172"/>
      <c r="CM115" s="172"/>
      <c r="CN115" s="172"/>
      <c r="CO115" s="172"/>
      <c r="CP115" s="172"/>
      <c r="CQ115" s="172"/>
      <c r="CR115" s="172"/>
      <c r="CS115" s="172"/>
      <c r="CT115" s="172"/>
      <c r="CU115" s="172"/>
      <c r="CV115" s="172"/>
      <c r="CW115" s="172"/>
      <c r="CX115" s="172"/>
      <c r="CY115" s="172"/>
      <c r="CZ115" s="172"/>
      <c r="DA115" s="172"/>
      <c r="DB115" s="146"/>
      <c r="DC115" s="41"/>
      <c r="DD115" s="30"/>
      <c r="DE115" s="125"/>
      <c r="DF115" s="29"/>
    </row>
    <row r="116" spans="1:110" ht="5.0999999999999996" customHeight="1" x14ac:dyDescent="0.25">
      <c r="A116" s="43"/>
      <c r="B116" s="43"/>
      <c r="C116" s="43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42"/>
      <c r="BB116" s="42"/>
      <c r="BC116" s="42"/>
      <c r="BD116" s="42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41"/>
      <c r="BV116" s="41"/>
      <c r="BW116" s="172"/>
      <c r="BX116" s="172"/>
      <c r="BY116" s="172"/>
      <c r="BZ116" s="172"/>
      <c r="CA116" s="172"/>
      <c r="CB116" s="172"/>
      <c r="CC116" s="172"/>
      <c r="CD116" s="172"/>
      <c r="CE116" s="172"/>
      <c r="CF116" s="172"/>
      <c r="CG116" s="172"/>
      <c r="CH116" s="172"/>
      <c r="CI116" s="172"/>
      <c r="CJ116" s="172"/>
      <c r="CK116" s="172"/>
      <c r="CL116" s="172"/>
      <c r="CM116" s="172"/>
      <c r="CN116" s="172"/>
      <c r="CO116" s="172"/>
      <c r="CP116" s="172"/>
      <c r="CQ116" s="172"/>
      <c r="CR116" s="172"/>
      <c r="CS116" s="172"/>
      <c r="CT116" s="172"/>
      <c r="CU116" s="172"/>
      <c r="CV116" s="172"/>
      <c r="CW116" s="172"/>
      <c r="CX116" s="172"/>
      <c r="CY116" s="172"/>
      <c r="CZ116" s="172"/>
      <c r="DA116" s="172"/>
      <c r="DB116" s="146"/>
      <c r="DC116" s="137"/>
      <c r="DD116" s="30"/>
      <c r="DE116" s="125"/>
      <c r="DF116" s="29"/>
    </row>
    <row r="117" spans="1:110" ht="5.0999999999999996" customHeight="1" x14ac:dyDescent="0.25">
      <c r="A117" s="43"/>
      <c r="B117" s="43"/>
      <c r="C117" s="43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42"/>
      <c r="BB117" s="42"/>
      <c r="BC117" s="42"/>
      <c r="BD117" s="42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41"/>
      <c r="BV117" s="41"/>
      <c r="BW117" s="172"/>
      <c r="BX117" s="172"/>
      <c r="BY117" s="172"/>
      <c r="BZ117" s="172"/>
      <c r="CA117" s="172"/>
      <c r="CB117" s="172"/>
      <c r="CC117" s="172"/>
      <c r="CD117" s="172"/>
      <c r="CE117" s="172"/>
      <c r="CF117" s="172"/>
      <c r="CG117" s="172"/>
      <c r="CH117" s="172"/>
      <c r="CI117" s="172"/>
      <c r="CJ117" s="172"/>
      <c r="CK117" s="172"/>
      <c r="CL117" s="172"/>
      <c r="CM117" s="172"/>
      <c r="CN117" s="172"/>
      <c r="CO117" s="172"/>
      <c r="CP117" s="172"/>
      <c r="CQ117" s="172"/>
      <c r="CR117" s="172"/>
      <c r="CS117" s="172"/>
      <c r="CT117" s="172"/>
      <c r="CU117" s="172"/>
      <c r="CV117" s="172"/>
      <c r="CW117" s="172"/>
      <c r="CX117" s="172"/>
      <c r="CY117" s="172"/>
      <c r="CZ117" s="172"/>
      <c r="DA117" s="172"/>
      <c r="DB117" s="146"/>
      <c r="DC117" s="137"/>
      <c r="DD117" s="30"/>
      <c r="DE117" s="125"/>
      <c r="DF117" s="29"/>
    </row>
    <row r="118" spans="1:110" ht="5.0999999999999996" customHeight="1" x14ac:dyDescent="0.25">
      <c r="A118" s="43"/>
      <c r="B118" s="43"/>
      <c r="C118" s="43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42"/>
      <c r="BB118" s="42"/>
      <c r="BC118" s="42"/>
      <c r="BD118" s="42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41"/>
      <c r="BV118" s="41"/>
      <c r="BW118" s="172"/>
      <c r="BX118" s="172"/>
      <c r="BY118" s="172"/>
      <c r="BZ118" s="172"/>
      <c r="CA118" s="172"/>
      <c r="CB118" s="172"/>
      <c r="CC118" s="172"/>
      <c r="CD118" s="172"/>
      <c r="CE118" s="172"/>
      <c r="CF118" s="172"/>
      <c r="CG118" s="172"/>
      <c r="CH118" s="172"/>
      <c r="CI118" s="172"/>
      <c r="CJ118" s="172"/>
      <c r="CK118" s="172"/>
      <c r="CL118" s="172"/>
      <c r="CM118" s="172"/>
      <c r="CN118" s="172"/>
      <c r="CO118" s="172"/>
      <c r="CP118" s="172"/>
      <c r="CQ118" s="172"/>
      <c r="CR118" s="172"/>
      <c r="CS118" s="172"/>
      <c r="CT118" s="172"/>
      <c r="CU118" s="172"/>
      <c r="CV118" s="172"/>
      <c r="CW118" s="172"/>
      <c r="CX118" s="172"/>
      <c r="CY118" s="172"/>
      <c r="CZ118" s="172"/>
      <c r="DA118" s="172"/>
      <c r="DB118" s="137"/>
      <c r="DC118" s="137"/>
      <c r="DD118" s="30"/>
      <c r="DE118" s="125"/>
      <c r="DF118" s="29"/>
    </row>
    <row r="119" spans="1:110" ht="5.0999999999999996" customHeight="1" x14ac:dyDescent="0.25">
      <c r="A119" s="43"/>
      <c r="B119" s="43"/>
      <c r="C119" s="43"/>
      <c r="D119" s="34" t="str">
        <f>IF(LEN(TRIM('4 доп.сведения'!B59))=0," ",'4 доп.сведения'!B59)</f>
        <v xml:space="preserve"> </v>
      </c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 t="str">
        <f>IF(LEN(TRIM('4 доп.сведения'!C59))=0," ",'4 доп.сведения'!C59)</f>
        <v xml:space="preserve"> </v>
      </c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42"/>
      <c r="BB119" s="42"/>
      <c r="BC119" s="42"/>
      <c r="BD119" s="42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41"/>
      <c r="BV119" s="41"/>
      <c r="BW119" s="172"/>
      <c r="BX119" s="172"/>
      <c r="BY119" s="172"/>
      <c r="BZ119" s="172"/>
      <c r="CA119" s="172"/>
      <c r="CB119" s="172"/>
      <c r="CC119" s="172"/>
      <c r="CD119" s="172"/>
      <c r="CE119" s="172"/>
      <c r="CF119" s="172"/>
      <c r="CG119" s="172"/>
      <c r="CH119" s="172"/>
      <c r="CI119" s="172"/>
      <c r="CJ119" s="172"/>
      <c r="CK119" s="172"/>
      <c r="CL119" s="172"/>
      <c r="CM119" s="172"/>
      <c r="CN119" s="172"/>
      <c r="CO119" s="172"/>
      <c r="CP119" s="172"/>
      <c r="CQ119" s="172"/>
      <c r="CR119" s="172"/>
      <c r="CS119" s="172"/>
      <c r="CT119" s="172"/>
      <c r="CU119" s="172"/>
      <c r="CV119" s="172"/>
      <c r="CW119" s="172"/>
      <c r="CX119" s="172"/>
      <c r="CY119" s="172"/>
      <c r="CZ119" s="172"/>
      <c r="DA119" s="172"/>
      <c r="DB119" s="137"/>
      <c r="DC119" s="137"/>
      <c r="DD119" s="30"/>
      <c r="DE119" s="125"/>
      <c r="DF119" s="29"/>
    </row>
    <row r="120" spans="1:110" ht="5.0999999999999996" customHeight="1" x14ac:dyDescent="0.25">
      <c r="A120" s="43"/>
      <c r="B120" s="43"/>
      <c r="C120" s="43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42"/>
      <c r="BB120" s="42"/>
      <c r="BC120" s="42"/>
      <c r="BD120" s="42"/>
      <c r="BE120" s="174" t="str">
        <f>Диплом!B5&amp;" "&amp;Диплом!B6</f>
        <v>бакалавра с отличием</v>
      </c>
      <c r="BF120" s="174"/>
      <c r="BG120" s="174"/>
      <c r="BH120" s="174"/>
      <c r="BI120" s="174"/>
      <c r="BJ120" s="174"/>
      <c r="BK120" s="174"/>
      <c r="BL120" s="174"/>
      <c r="BM120" s="174"/>
      <c r="BN120" s="174"/>
      <c r="BO120" s="174"/>
      <c r="BP120" s="174"/>
      <c r="BQ120" s="174"/>
      <c r="BR120" s="174"/>
      <c r="BS120" s="174"/>
      <c r="BT120" s="174"/>
      <c r="BU120" s="41"/>
      <c r="BV120" s="41"/>
      <c r="BW120" s="172"/>
      <c r="BX120" s="172"/>
      <c r="BY120" s="172"/>
      <c r="BZ120" s="172"/>
      <c r="CA120" s="172"/>
      <c r="CB120" s="172"/>
      <c r="CC120" s="172"/>
      <c r="CD120" s="172"/>
      <c r="CE120" s="172"/>
      <c r="CF120" s="172"/>
      <c r="CG120" s="172"/>
      <c r="CH120" s="172"/>
      <c r="CI120" s="172"/>
      <c r="CJ120" s="172"/>
      <c r="CK120" s="172"/>
      <c r="CL120" s="172"/>
      <c r="CM120" s="172"/>
      <c r="CN120" s="172"/>
      <c r="CO120" s="172"/>
      <c r="CP120" s="172"/>
      <c r="CQ120" s="172"/>
      <c r="CR120" s="172"/>
      <c r="CS120" s="172"/>
      <c r="CT120" s="172"/>
      <c r="CU120" s="172"/>
      <c r="CV120" s="172"/>
      <c r="CW120" s="172"/>
      <c r="CX120" s="172"/>
      <c r="CY120" s="172"/>
      <c r="CZ120" s="172"/>
      <c r="DA120" s="172"/>
      <c r="DB120" s="137"/>
      <c r="DC120" s="137"/>
      <c r="DD120" s="30"/>
      <c r="DE120" s="125"/>
      <c r="DF120" s="29"/>
    </row>
    <row r="121" spans="1:110" ht="5.0999999999999996" customHeight="1" x14ac:dyDescent="0.25">
      <c r="A121" s="43"/>
      <c r="B121" s="43"/>
      <c r="C121" s="4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43"/>
      <c r="AH121" s="143"/>
      <c r="AI121" s="143"/>
      <c r="AJ121" s="143"/>
      <c r="AK121" s="34"/>
      <c r="AL121" s="34"/>
      <c r="AM121" s="34"/>
      <c r="AN121" s="34"/>
      <c r="AO121" s="34"/>
      <c r="AP121" s="145"/>
      <c r="AQ121" s="145"/>
      <c r="AR121" s="145"/>
      <c r="AS121" s="145"/>
      <c r="AT121" s="145"/>
      <c r="AU121" s="145"/>
      <c r="AV121" s="145"/>
      <c r="AW121" s="145"/>
      <c r="AX121" s="145"/>
      <c r="AY121" s="145"/>
      <c r="AZ121" s="30"/>
      <c r="BA121" s="42"/>
      <c r="BB121" s="42"/>
      <c r="BC121" s="42"/>
      <c r="BD121" s="42"/>
      <c r="BE121" s="174"/>
      <c r="BF121" s="174"/>
      <c r="BG121" s="174"/>
      <c r="BH121" s="174"/>
      <c r="BI121" s="174"/>
      <c r="BJ121" s="174"/>
      <c r="BK121" s="174"/>
      <c r="BL121" s="174"/>
      <c r="BM121" s="174"/>
      <c r="BN121" s="174"/>
      <c r="BO121" s="174"/>
      <c r="BP121" s="174"/>
      <c r="BQ121" s="174"/>
      <c r="BR121" s="174"/>
      <c r="BS121" s="174"/>
      <c r="BT121" s="174"/>
      <c r="BU121" s="41"/>
      <c r="BV121" s="41"/>
      <c r="BW121" s="172"/>
      <c r="BX121" s="172"/>
      <c r="BY121" s="172"/>
      <c r="BZ121" s="172"/>
      <c r="CA121" s="172"/>
      <c r="CB121" s="172"/>
      <c r="CC121" s="172"/>
      <c r="CD121" s="172"/>
      <c r="CE121" s="172"/>
      <c r="CF121" s="172"/>
      <c r="CG121" s="172"/>
      <c r="CH121" s="172"/>
      <c r="CI121" s="172"/>
      <c r="CJ121" s="172"/>
      <c r="CK121" s="172"/>
      <c r="CL121" s="172"/>
      <c r="CM121" s="172"/>
      <c r="CN121" s="172"/>
      <c r="CO121" s="172"/>
      <c r="CP121" s="172"/>
      <c r="CQ121" s="172"/>
      <c r="CR121" s="172"/>
      <c r="CS121" s="172"/>
      <c r="CT121" s="172"/>
      <c r="CU121" s="172"/>
      <c r="CV121" s="172"/>
      <c r="CW121" s="172"/>
      <c r="CX121" s="172"/>
      <c r="CY121" s="172"/>
      <c r="CZ121" s="172"/>
      <c r="DA121" s="172"/>
      <c r="DB121" s="140"/>
      <c r="DC121" s="140"/>
      <c r="DD121" s="30"/>
      <c r="DE121" s="125"/>
      <c r="DF121" s="29"/>
    </row>
    <row r="122" spans="1:110" ht="5.0999999999999996" customHeight="1" x14ac:dyDescent="0.25">
      <c r="A122" s="43"/>
      <c r="B122" s="43"/>
      <c r="C122" s="43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145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42"/>
      <c r="BB122" s="42"/>
      <c r="BC122" s="42"/>
      <c r="BD122" s="42"/>
      <c r="BE122" s="174"/>
      <c r="BF122" s="174"/>
      <c r="BG122" s="174"/>
      <c r="BH122" s="174"/>
      <c r="BI122" s="174"/>
      <c r="BJ122" s="174"/>
      <c r="BK122" s="174"/>
      <c r="BL122" s="174"/>
      <c r="BM122" s="174"/>
      <c r="BN122" s="174"/>
      <c r="BO122" s="174"/>
      <c r="BP122" s="174"/>
      <c r="BQ122" s="174"/>
      <c r="BR122" s="174"/>
      <c r="BS122" s="174"/>
      <c r="BT122" s="174"/>
      <c r="BU122" s="41"/>
      <c r="BV122" s="41"/>
      <c r="BW122" s="172"/>
      <c r="BX122" s="172"/>
      <c r="BY122" s="172"/>
      <c r="BZ122" s="172"/>
      <c r="CA122" s="172"/>
      <c r="CB122" s="172"/>
      <c r="CC122" s="172"/>
      <c r="CD122" s="172"/>
      <c r="CE122" s="172"/>
      <c r="CF122" s="172"/>
      <c r="CG122" s="172"/>
      <c r="CH122" s="172"/>
      <c r="CI122" s="172"/>
      <c r="CJ122" s="172"/>
      <c r="CK122" s="172"/>
      <c r="CL122" s="172"/>
      <c r="CM122" s="172"/>
      <c r="CN122" s="172"/>
      <c r="CO122" s="172"/>
      <c r="CP122" s="172"/>
      <c r="CQ122" s="172"/>
      <c r="CR122" s="172"/>
      <c r="CS122" s="172"/>
      <c r="CT122" s="172"/>
      <c r="CU122" s="172"/>
      <c r="CV122" s="172"/>
      <c r="CW122" s="172"/>
      <c r="CX122" s="172"/>
      <c r="CY122" s="172"/>
      <c r="CZ122" s="172"/>
      <c r="DA122" s="172"/>
      <c r="DB122" s="140"/>
      <c r="DC122" s="140"/>
      <c r="DD122" s="30"/>
      <c r="DE122" s="125"/>
      <c r="DF122" s="29"/>
    </row>
    <row r="123" spans="1:110" ht="5.0999999999999996" customHeight="1" x14ac:dyDescent="0.25">
      <c r="A123" s="43"/>
      <c r="B123" s="43"/>
      <c r="C123" s="43"/>
      <c r="D123" s="34" t="str">
        <f>IF(LEN(TRIM('4 доп.сведения'!B60))=0," ",'4 доп.сведения'!B60)</f>
        <v xml:space="preserve"> </v>
      </c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 t="str">
        <f>IF(LEN(TRIM('4 доп.сведения'!C60))=0," ",'4 доп.сведения'!C60)</f>
        <v xml:space="preserve"> </v>
      </c>
      <c r="AQ123" s="34"/>
      <c r="AR123" s="34"/>
      <c r="AS123" s="34"/>
      <c r="AT123" s="34"/>
      <c r="AU123" s="34"/>
      <c r="AV123" s="34"/>
      <c r="AW123" s="34"/>
      <c r="AX123" s="34"/>
      <c r="AY123" s="34"/>
      <c r="AZ123" s="30"/>
      <c r="BA123" s="42"/>
      <c r="BB123" s="42"/>
      <c r="BC123" s="42"/>
      <c r="BD123" s="42"/>
      <c r="BE123" s="174"/>
      <c r="BF123" s="174"/>
      <c r="BG123" s="174"/>
      <c r="BH123" s="174"/>
      <c r="BI123" s="174"/>
      <c r="BJ123" s="174"/>
      <c r="BK123" s="174"/>
      <c r="BL123" s="174"/>
      <c r="BM123" s="174"/>
      <c r="BN123" s="174"/>
      <c r="BO123" s="174"/>
      <c r="BP123" s="174"/>
      <c r="BQ123" s="174"/>
      <c r="BR123" s="174"/>
      <c r="BS123" s="174"/>
      <c r="BT123" s="174"/>
      <c r="BU123" s="41"/>
      <c r="BV123" s="41"/>
      <c r="BW123" s="172"/>
      <c r="BX123" s="172"/>
      <c r="BY123" s="172"/>
      <c r="BZ123" s="172"/>
      <c r="CA123" s="172"/>
      <c r="CB123" s="172"/>
      <c r="CC123" s="172"/>
      <c r="CD123" s="172"/>
      <c r="CE123" s="172"/>
      <c r="CF123" s="172"/>
      <c r="CG123" s="172"/>
      <c r="CH123" s="172"/>
      <c r="CI123" s="172"/>
      <c r="CJ123" s="172"/>
      <c r="CK123" s="172"/>
      <c r="CL123" s="172"/>
      <c r="CM123" s="172"/>
      <c r="CN123" s="172"/>
      <c r="CO123" s="172"/>
      <c r="CP123" s="172"/>
      <c r="CQ123" s="172"/>
      <c r="CR123" s="172"/>
      <c r="CS123" s="172"/>
      <c r="CT123" s="172"/>
      <c r="CU123" s="172"/>
      <c r="CV123" s="172"/>
      <c r="CW123" s="172"/>
      <c r="CX123" s="172"/>
      <c r="CY123" s="172"/>
      <c r="CZ123" s="172"/>
      <c r="DA123" s="172"/>
      <c r="DB123" s="140"/>
      <c r="DC123" s="140"/>
      <c r="DD123" s="30"/>
      <c r="DE123" s="125"/>
      <c r="DF123" s="29"/>
    </row>
    <row r="124" spans="1:110" ht="5.0999999999999996" customHeight="1" x14ac:dyDescent="0.25">
      <c r="A124" s="43"/>
      <c r="B124" s="43"/>
      <c r="C124" s="43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0"/>
      <c r="BA124" s="42"/>
      <c r="BB124" s="42"/>
      <c r="BC124" s="42"/>
      <c r="BD124" s="42"/>
      <c r="BE124" s="174"/>
      <c r="BF124" s="174"/>
      <c r="BG124" s="174"/>
      <c r="BH124" s="174"/>
      <c r="BI124" s="174"/>
      <c r="BJ124" s="174"/>
      <c r="BK124" s="174"/>
      <c r="BL124" s="174"/>
      <c r="BM124" s="174"/>
      <c r="BN124" s="174"/>
      <c r="BO124" s="174"/>
      <c r="BP124" s="174"/>
      <c r="BQ124" s="174"/>
      <c r="BR124" s="174"/>
      <c r="BS124" s="174"/>
      <c r="BT124" s="174"/>
      <c r="BU124" s="41"/>
      <c r="BV124" s="41"/>
      <c r="BW124" s="140"/>
      <c r="BX124" s="140"/>
      <c r="BY124" s="140"/>
      <c r="BZ124" s="140"/>
      <c r="CA124" s="140"/>
      <c r="CB124" s="140"/>
      <c r="CC124" s="140"/>
      <c r="CD124" s="140"/>
      <c r="CE124" s="140"/>
      <c r="CF124" s="140"/>
      <c r="CG124" s="140"/>
      <c r="CH124" s="140"/>
      <c r="CI124" s="140"/>
      <c r="CJ124" s="140"/>
      <c r="CK124" s="140"/>
      <c r="CL124" s="140"/>
      <c r="CM124" s="140"/>
      <c r="CN124" s="140"/>
      <c r="CO124" s="140"/>
      <c r="CP124" s="140"/>
      <c r="CQ124" s="140"/>
      <c r="CR124" s="140"/>
      <c r="CS124" s="140"/>
      <c r="CT124" s="140"/>
      <c r="CU124" s="140"/>
      <c r="CV124" s="140"/>
      <c r="CW124" s="140"/>
      <c r="CX124" s="140"/>
      <c r="CY124" s="140"/>
      <c r="CZ124" s="140"/>
      <c r="DA124" s="140"/>
      <c r="DB124" s="140"/>
      <c r="DC124" s="140"/>
      <c r="DD124" s="30"/>
      <c r="DE124" s="125"/>
      <c r="DF124" s="29"/>
    </row>
    <row r="125" spans="1:110" ht="5.0999999999999996" customHeight="1" x14ac:dyDescent="0.25">
      <c r="A125" s="43"/>
      <c r="B125" s="43"/>
      <c r="C125" s="43"/>
      <c r="D125" s="34" t="str">
        <f>IF(LEN(TRIM('4 доп.сведения'!B61))=0," ",'4 доп.сведения'!B61)</f>
        <v xml:space="preserve"> </v>
      </c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177"/>
      <c r="AE125" s="177"/>
      <c r="AF125" s="177"/>
      <c r="AG125" s="177"/>
      <c r="AH125" s="177"/>
      <c r="AI125" s="177"/>
      <c r="AJ125" s="177"/>
      <c r="AK125" s="177"/>
      <c r="AL125" s="177"/>
      <c r="AM125" s="177"/>
      <c r="AN125" s="177"/>
      <c r="AO125" s="177"/>
      <c r="AP125" s="177"/>
      <c r="AQ125" s="177"/>
      <c r="AR125" s="177"/>
      <c r="AS125" s="177"/>
      <c r="AT125" s="177"/>
      <c r="AU125" s="177"/>
      <c r="AV125" s="177"/>
      <c r="AW125" s="177"/>
      <c r="AX125" s="177"/>
      <c r="AY125" s="177"/>
      <c r="AZ125" s="177"/>
      <c r="BA125" s="42"/>
      <c r="BB125" s="42"/>
      <c r="BC125" s="42"/>
      <c r="BD125" s="42"/>
      <c r="BE125" s="174"/>
      <c r="BF125" s="174"/>
      <c r="BG125" s="174"/>
      <c r="BH125" s="174"/>
      <c r="BI125" s="174"/>
      <c r="BJ125" s="174"/>
      <c r="BK125" s="174"/>
      <c r="BL125" s="174"/>
      <c r="BM125" s="174"/>
      <c r="BN125" s="174"/>
      <c r="BO125" s="174"/>
      <c r="BP125" s="174"/>
      <c r="BQ125" s="174"/>
      <c r="BR125" s="174"/>
      <c r="BS125" s="174"/>
      <c r="BT125" s="174"/>
      <c r="BU125" s="41"/>
      <c r="BV125" s="41"/>
      <c r="BW125" s="140"/>
      <c r="BX125" s="140"/>
      <c r="BY125" s="140"/>
      <c r="BZ125" s="140"/>
      <c r="CA125" s="140"/>
      <c r="CB125" s="140"/>
      <c r="CC125" s="140"/>
      <c r="CD125" s="140"/>
      <c r="CE125" s="140"/>
      <c r="CF125" s="140"/>
      <c r="CG125" s="140"/>
      <c r="CH125" s="140"/>
      <c r="CI125" s="140"/>
      <c r="CJ125" s="140"/>
      <c r="CK125" s="140"/>
      <c r="CL125" s="140"/>
      <c r="CM125" s="140"/>
      <c r="CN125" s="140"/>
      <c r="CO125" s="140"/>
      <c r="CP125" s="140"/>
      <c r="CQ125" s="140"/>
      <c r="CR125" s="140"/>
      <c r="CS125" s="140"/>
      <c r="CT125" s="140"/>
      <c r="CU125" s="140"/>
      <c r="CV125" s="140"/>
      <c r="CW125" s="140"/>
      <c r="CX125" s="140"/>
      <c r="CY125" s="140"/>
      <c r="CZ125" s="140"/>
      <c r="DA125" s="140"/>
      <c r="DB125" s="140"/>
      <c r="DC125" s="140"/>
      <c r="DD125" s="30"/>
      <c r="DE125" s="125"/>
      <c r="DF125" s="29"/>
    </row>
    <row r="126" spans="1:110" ht="5.0999999999999996" customHeight="1" x14ac:dyDescent="0.25">
      <c r="A126" s="43"/>
      <c r="B126" s="43"/>
      <c r="C126" s="43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177"/>
      <c r="AE126" s="177"/>
      <c r="AF126" s="177"/>
      <c r="AG126" s="177"/>
      <c r="AH126" s="177"/>
      <c r="AI126" s="177"/>
      <c r="AJ126" s="177"/>
      <c r="AK126" s="177"/>
      <c r="AL126" s="177"/>
      <c r="AM126" s="177"/>
      <c r="AN126" s="177"/>
      <c r="AO126" s="177"/>
      <c r="AP126" s="177"/>
      <c r="AQ126" s="177"/>
      <c r="AR126" s="177"/>
      <c r="AS126" s="177"/>
      <c r="AT126" s="177"/>
      <c r="AU126" s="177"/>
      <c r="AV126" s="177"/>
      <c r="AW126" s="177"/>
      <c r="AX126" s="177"/>
      <c r="AY126" s="177"/>
      <c r="AZ126" s="177"/>
      <c r="BA126" s="42"/>
      <c r="BB126" s="42"/>
      <c r="BC126" s="42"/>
      <c r="BD126" s="42"/>
      <c r="BE126" s="169"/>
      <c r="BF126" s="169"/>
      <c r="BG126" s="169"/>
      <c r="BH126" s="169"/>
      <c r="BI126" s="169"/>
      <c r="BJ126" s="169"/>
      <c r="BK126" s="169"/>
      <c r="BL126" s="169"/>
      <c r="BM126" s="169"/>
      <c r="BN126" s="169"/>
      <c r="BO126" s="169"/>
      <c r="BP126" s="169"/>
      <c r="BQ126" s="169"/>
      <c r="BR126" s="169"/>
      <c r="BS126" s="169"/>
      <c r="BT126" s="169"/>
      <c r="BU126" s="41"/>
      <c r="BV126" s="41"/>
      <c r="BW126" s="140"/>
      <c r="BX126" s="140"/>
      <c r="BY126" s="140"/>
      <c r="BZ126" s="140"/>
      <c r="CA126" s="140"/>
      <c r="CB126" s="140"/>
      <c r="CC126" s="140"/>
      <c r="CD126" s="140"/>
      <c r="CE126" s="140"/>
      <c r="CF126" s="140"/>
      <c r="CG126" s="140"/>
      <c r="CH126" s="140"/>
      <c r="CI126" s="140"/>
      <c r="CJ126" s="140"/>
      <c r="CK126" s="140"/>
      <c r="CL126" s="140"/>
      <c r="CM126" s="140"/>
      <c r="CN126" s="140"/>
      <c r="CO126" s="140"/>
      <c r="CP126" s="140"/>
      <c r="CQ126" s="140"/>
      <c r="CR126" s="140"/>
      <c r="CS126" s="140"/>
      <c r="CT126" s="140"/>
      <c r="CU126" s="140"/>
      <c r="CV126" s="140"/>
      <c r="CW126" s="140"/>
      <c r="CX126" s="140"/>
      <c r="CY126" s="140"/>
      <c r="CZ126" s="140"/>
      <c r="DA126" s="140"/>
      <c r="DB126" s="140"/>
      <c r="DC126" s="140"/>
      <c r="DD126" s="30"/>
      <c r="DE126" s="125"/>
      <c r="DF126" s="29"/>
    </row>
    <row r="127" spans="1:110" ht="5.0999999999999996" customHeight="1" x14ac:dyDescent="0.25">
      <c r="A127" s="43"/>
      <c r="B127" s="43"/>
      <c r="C127" s="43"/>
      <c r="D127" s="34" t="str">
        <f>IF(LEN(TRIM('4 доп.сведения'!B62))=0," ",'4 доп.сведения'!B62)</f>
        <v xml:space="preserve"> </v>
      </c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177"/>
      <c r="AE127" s="177"/>
      <c r="AF127" s="177"/>
      <c r="AG127" s="177"/>
      <c r="AH127" s="177"/>
      <c r="AI127" s="177"/>
      <c r="AJ127" s="177"/>
      <c r="AK127" s="177"/>
      <c r="AL127" s="177"/>
      <c r="AM127" s="177"/>
      <c r="AN127" s="177"/>
      <c r="AO127" s="177"/>
      <c r="AP127" s="177"/>
      <c r="AQ127" s="177"/>
      <c r="AR127" s="177"/>
      <c r="AS127" s="177"/>
      <c r="AT127" s="177"/>
      <c r="AU127" s="177"/>
      <c r="AV127" s="177"/>
      <c r="AW127" s="177"/>
      <c r="AX127" s="177"/>
      <c r="AY127" s="177"/>
      <c r="AZ127" s="177"/>
      <c r="BA127" s="42"/>
      <c r="BB127" s="42"/>
      <c r="BC127" s="42"/>
      <c r="BD127" s="42"/>
      <c r="BE127" s="169"/>
      <c r="BF127" s="169"/>
      <c r="BG127" s="169"/>
      <c r="BH127" s="169"/>
      <c r="BI127" s="169"/>
      <c r="BJ127" s="169"/>
      <c r="BK127" s="169"/>
      <c r="BL127" s="169"/>
      <c r="BM127" s="169"/>
      <c r="BN127" s="169"/>
      <c r="BO127" s="169"/>
      <c r="BP127" s="169"/>
      <c r="BQ127" s="169"/>
      <c r="BR127" s="169"/>
      <c r="BS127" s="169"/>
      <c r="BT127" s="169"/>
      <c r="BU127" s="41"/>
      <c r="BV127" s="41"/>
      <c r="BW127" s="140"/>
      <c r="BX127" s="140"/>
      <c r="BY127" s="140"/>
      <c r="BZ127" s="140"/>
      <c r="CA127" s="140"/>
      <c r="CB127" s="140"/>
      <c r="CC127" s="140"/>
      <c r="CD127" s="140"/>
      <c r="CE127" s="140"/>
      <c r="CF127" s="140"/>
      <c r="CG127" s="140"/>
      <c r="CH127" s="140"/>
      <c r="CI127" s="140"/>
      <c r="CJ127" s="140"/>
      <c r="CK127" s="140"/>
      <c r="CL127" s="140"/>
      <c r="CM127" s="140"/>
      <c r="CN127" s="140"/>
      <c r="CO127" s="140"/>
      <c r="CP127" s="140"/>
      <c r="CQ127" s="140"/>
      <c r="CR127" s="140"/>
      <c r="CS127" s="140"/>
      <c r="CT127" s="140"/>
      <c r="CU127" s="140"/>
      <c r="CV127" s="140"/>
      <c r="CW127" s="140"/>
      <c r="CX127" s="140"/>
      <c r="CY127" s="140"/>
      <c r="CZ127" s="140"/>
      <c r="DA127" s="140"/>
      <c r="DB127" s="140"/>
      <c r="DC127" s="140"/>
      <c r="DD127" s="30"/>
      <c r="DE127" s="125"/>
      <c r="DF127" s="29"/>
    </row>
    <row r="128" spans="1:110" ht="5.0999999999999996" customHeight="1" x14ac:dyDescent="0.25">
      <c r="A128" s="43"/>
      <c r="B128" s="43"/>
      <c r="C128" s="43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177"/>
      <c r="AE128" s="177"/>
      <c r="AF128" s="177"/>
      <c r="AG128" s="177"/>
      <c r="AH128" s="177"/>
      <c r="AI128" s="177"/>
      <c r="AJ128" s="177"/>
      <c r="AK128" s="177"/>
      <c r="AL128" s="177"/>
      <c r="AM128" s="177"/>
      <c r="AN128" s="177"/>
      <c r="AO128" s="177"/>
      <c r="AP128" s="177"/>
      <c r="AQ128" s="177"/>
      <c r="AR128" s="177"/>
      <c r="AS128" s="177"/>
      <c r="AT128" s="177"/>
      <c r="AU128" s="177"/>
      <c r="AV128" s="177"/>
      <c r="AW128" s="177"/>
      <c r="AX128" s="177"/>
      <c r="AY128" s="177"/>
      <c r="AZ128" s="177"/>
      <c r="BA128" s="42"/>
      <c r="BB128" s="42"/>
      <c r="BC128" s="42"/>
      <c r="BD128" s="42"/>
      <c r="BE128" s="169"/>
      <c r="BF128" s="169"/>
      <c r="BG128" s="169"/>
      <c r="BH128" s="169"/>
      <c r="BI128" s="169"/>
      <c r="BJ128" s="169"/>
      <c r="BK128" s="169"/>
      <c r="BL128" s="169"/>
      <c r="BM128" s="169"/>
      <c r="BN128" s="169"/>
      <c r="BO128" s="169"/>
      <c r="BP128" s="169"/>
      <c r="BQ128" s="169"/>
      <c r="BR128" s="169"/>
      <c r="BS128" s="169"/>
      <c r="BT128" s="169"/>
      <c r="BU128" s="30"/>
      <c r="BV128" s="30"/>
      <c r="BW128" s="140"/>
      <c r="BX128" s="140"/>
      <c r="BY128" s="140"/>
      <c r="BZ128" s="140"/>
      <c r="CA128" s="140"/>
      <c r="CB128" s="140"/>
      <c r="CC128" s="140"/>
      <c r="CD128" s="140"/>
      <c r="CE128" s="140"/>
      <c r="CF128" s="140"/>
      <c r="CG128" s="140"/>
      <c r="CH128" s="140"/>
      <c r="CI128" s="140"/>
      <c r="CJ128" s="140"/>
      <c r="CK128" s="140"/>
      <c r="CL128" s="140"/>
      <c r="CM128" s="140"/>
      <c r="CN128" s="140"/>
      <c r="CO128" s="140"/>
      <c r="CP128" s="140"/>
      <c r="CQ128" s="140"/>
      <c r="CR128" s="140"/>
      <c r="CS128" s="140"/>
      <c r="CT128" s="140"/>
      <c r="CU128" s="140"/>
      <c r="CV128" s="140"/>
      <c r="CW128" s="140"/>
      <c r="CX128" s="140"/>
      <c r="CY128" s="140"/>
      <c r="CZ128" s="140"/>
      <c r="DA128" s="140"/>
      <c r="DB128" s="140"/>
      <c r="DC128" s="140"/>
      <c r="DD128" s="30"/>
      <c r="DE128" s="125"/>
      <c r="DF128" s="29"/>
    </row>
    <row r="129" spans="1:110" ht="5.0999999999999996" customHeight="1" x14ac:dyDescent="0.25">
      <c r="A129" s="43"/>
      <c r="B129" s="43"/>
      <c r="C129" s="43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177"/>
      <c r="AE129" s="177"/>
      <c r="AF129" s="177"/>
      <c r="AG129" s="177"/>
      <c r="AH129" s="177"/>
      <c r="AI129" s="177"/>
      <c r="AJ129" s="177"/>
      <c r="AK129" s="177"/>
      <c r="AL129" s="177"/>
      <c r="AM129" s="177"/>
      <c r="AN129" s="177"/>
      <c r="AO129" s="177"/>
      <c r="AP129" s="177"/>
      <c r="AQ129" s="177"/>
      <c r="AR129" s="177"/>
      <c r="AS129" s="177"/>
      <c r="AT129" s="177"/>
      <c r="AU129" s="177"/>
      <c r="AV129" s="177"/>
      <c r="AW129" s="177"/>
      <c r="AX129" s="177"/>
      <c r="AY129" s="177"/>
      <c r="AZ129" s="177"/>
      <c r="BA129" s="42"/>
      <c r="BB129" s="42"/>
      <c r="BC129" s="42"/>
      <c r="BD129" s="42"/>
      <c r="BE129" s="169"/>
      <c r="BF129" s="169"/>
      <c r="BG129" s="169"/>
      <c r="BH129" s="169"/>
      <c r="BI129" s="169"/>
      <c r="BJ129" s="169"/>
      <c r="BK129" s="169"/>
      <c r="BL129" s="169"/>
      <c r="BM129" s="169"/>
      <c r="BN129" s="169"/>
      <c r="BO129" s="169"/>
      <c r="BP129" s="169"/>
      <c r="BQ129" s="169"/>
      <c r="BR129" s="169"/>
      <c r="BS129" s="169"/>
      <c r="BT129" s="169"/>
      <c r="BU129" s="30"/>
      <c r="BV129" s="30"/>
      <c r="BW129" s="140"/>
      <c r="BX129" s="140"/>
      <c r="BY129" s="140"/>
      <c r="BZ129" s="140"/>
      <c r="CA129" s="140"/>
      <c r="CB129" s="140"/>
      <c r="CC129" s="140"/>
      <c r="CD129" s="140"/>
      <c r="CE129" s="140"/>
      <c r="CF129" s="140"/>
      <c r="CG129" s="140"/>
      <c r="CH129" s="140"/>
      <c r="CI129" s="140"/>
      <c r="CJ129" s="140"/>
      <c r="CK129" s="140"/>
      <c r="CL129" s="140"/>
      <c r="CM129" s="140"/>
      <c r="CN129" s="140"/>
      <c r="CO129" s="140"/>
      <c r="CP129" s="140"/>
      <c r="CQ129" s="140"/>
      <c r="CR129" s="140"/>
      <c r="CS129" s="140"/>
      <c r="CT129" s="140"/>
      <c r="CU129" s="140"/>
      <c r="CV129" s="140"/>
      <c r="CW129" s="140"/>
      <c r="CX129" s="140"/>
      <c r="CY129" s="140"/>
      <c r="CZ129" s="140"/>
      <c r="DA129" s="140"/>
      <c r="DB129" s="140"/>
      <c r="DC129" s="140"/>
      <c r="DD129" s="30"/>
      <c r="DE129" s="125"/>
      <c r="DF129" s="29"/>
    </row>
    <row r="130" spans="1:110" ht="5.0999999999999996" customHeight="1" x14ac:dyDescent="0.25">
      <c r="A130" s="30"/>
      <c r="B130" s="30"/>
      <c r="C130" s="30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177"/>
      <c r="AE130" s="177"/>
      <c r="AF130" s="177"/>
      <c r="AG130" s="177"/>
      <c r="AH130" s="177"/>
      <c r="AI130" s="177"/>
      <c r="AJ130" s="177"/>
      <c r="AK130" s="177"/>
      <c r="AL130" s="177"/>
      <c r="AM130" s="177"/>
      <c r="AN130" s="177"/>
      <c r="AO130" s="177"/>
      <c r="AP130" s="177"/>
      <c r="AQ130" s="177"/>
      <c r="AR130" s="177"/>
      <c r="AS130" s="177"/>
      <c r="AT130" s="177"/>
      <c r="AU130" s="177"/>
      <c r="AV130" s="177"/>
      <c r="AW130" s="177"/>
      <c r="AX130" s="177"/>
      <c r="AY130" s="177"/>
      <c r="AZ130" s="177"/>
      <c r="BA130" s="44"/>
      <c r="BB130" s="44"/>
      <c r="BC130" s="44"/>
      <c r="BD130" s="44"/>
      <c r="BE130" s="169"/>
      <c r="BF130" s="169"/>
      <c r="BG130" s="169"/>
      <c r="BH130" s="169"/>
      <c r="BI130" s="169"/>
      <c r="BJ130" s="169"/>
      <c r="BK130" s="169"/>
      <c r="BL130" s="169"/>
      <c r="BM130" s="169"/>
      <c r="BN130" s="169"/>
      <c r="BO130" s="169"/>
      <c r="BP130" s="169"/>
      <c r="BQ130" s="169"/>
      <c r="BR130" s="169"/>
      <c r="BS130" s="169"/>
      <c r="BT130" s="169"/>
      <c r="BU130" s="30"/>
      <c r="BV130" s="30"/>
      <c r="BW130" s="140"/>
      <c r="BX130" s="140"/>
      <c r="BY130" s="140"/>
      <c r="BZ130" s="140"/>
      <c r="CA130" s="140"/>
      <c r="CB130" s="140"/>
      <c r="CC130" s="140"/>
      <c r="CD130" s="140"/>
      <c r="CE130" s="140"/>
      <c r="CF130" s="140"/>
      <c r="CG130" s="140"/>
      <c r="CH130" s="140"/>
      <c r="CI130" s="140"/>
      <c r="CJ130" s="140"/>
      <c r="CK130" s="140"/>
      <c r="CL130" s="140"/>
      <c r="CM130" s="140"/>
      <c r="CN130" s="140"/>
      <c r="CO130" s="140"/>
      <c r="CP130" s="140"/>
      <c r="CQ130" s="140"/>
      <c r="CR130" s="140"/>
      <c r="CS130" s="140"/>
      <c r="CT130" s="140"/>
      <c r="CU130" s="140"/>
      <c r="CV130" s="140"/>
      <c r="CW130" s="140"/>
      <c r="CX130" s="140"/>
      <c r="CY130" s="140"/>
      <c r="CZ130" s="140"/>
      <c r="DA130" s="140"/>
      <c r="DB130" s="140"/>
      <c r="DC130" s="140"/>
      <c r="DD130" s="30"/>
      <c r="DE130" s="125"/>
      <c r="DF130" s="29"/>
    </row>
    <row r="131" spans="1:110" ht="5.0999999999999996" customHeight="1" x14ac:dyDescent="0.25">
      <c r="A131" s="30"/>
      <c r="B131" s="30"/>
      <c r="C131" s="30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177"/>
      <c r="AE131" s="177"/>
      <c r="AF131" s="177"/>
      <c r="AG131" s="177"/>
      <c r="AH131" s="177"/>
      <c r="AI131" s="177"/>
      <c r="AJ131" s="177"/>
      <c r="AK131" s="177"/>
      <c r="AL131" s="177"/>
      <c r="AM131" s="177"/>
      <c r="AN131" s="177"/>
      <c r="AO131" s="177"/>
      <c r="AP131" s="177"/>
      <c r="AQ131" s="177"/>
      <c r="AR131" s="177"/>
      <c r="AS131" s="177"/>
      <c r="AT131" s="177"/>
      <c r="AU131" s="177"/>
      <c r="AV131" s="177"/>
      <c r="AW131" s="177"/>
      <c r="AX131" s="177"/>
      <c r="AY131" s="177"/>
      <c r="AZ131" s="177"/>
      <c r="BA131" s="44"/>
      <c r="BB131" s="44"/>
      <c r="BC131" s="44"/>
      <c r="BD131" s="44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30"/>
      <c r="BV131" s="30"/>
      <c r="BW131" s="37"/>
      <c r="BX131" s="37"/>
      <c r="BY131" s="37"/>
      <c r="BZ131" s="37"/>
      <c r="CA131" s="37"/>
      <c r="CB131" s="37"/>
      <c r="CC131" s="37"/>
      <c r="CD131" s="37"/>
      <c r="CE131" s="37"/>
      <c r="CF131" s="37"/>
      <c r="CG131" s="37"/>
      <c r="CH131" s="37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7"/>
      <c r="CU131" s="37"/>
      <c r="CV131" s="37"/>
      <c r="CW131" s="37"/>
      <c r="CX131" s="37"/>
      <c r="CY131" s="37"/>
      <c r="CZ131" s="37"/>
      <c r="DA131" s="37"/>
      <c r="DB131" s="37"/>
      <c r="DC131" s="37"/>
      <c r="DD131" s="30"/>
      <c r="DE131" s="125"/>
      <c r="DF131" s="29"/>
    </row>
    <row r="132" spans="1:110" ht="5.0999999999999996" customHeight="1" x14ac:dyDescent="0.25">
      <c r="A132" s="30"/>
      <c r="B132" s="30"/>
      <c r="C132" s="30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176" t="str">
        <f>Диплом!B9</f>
        <v>А.А. Марголис</v>
      </c>
      <c r="AE132" s="176"/>
      <c r="AF132" s="176"/>
      <c r="AG132" s="176"/>
      <c r="AH132" s="176"/>
      <c r="AI132" s="176"/>
      <c r="AJ132" s="176"/>
      <c r="AK132" s="176"/>
      <c r="AL132" s="176"/>
      <c r="AM132" s="176"/>
      <c r="AN132" s="176"/>
      <c r="AO132" s="176"/>
      <c r="AP132" s="176"/>
      <c r="AQ132" s="176"/>
      <c r="AR132" s="176"/>
      <c r="AS132" s="176"/>
      <c r="AT132" s="176"/>
      <c r="AU132" s="176"/>
      <c r="AV132" s="176"/>
      <c r="AW132" s="176"/>
      <c r="AX132" s="176"/>
      <c r="AY132" s="176"/>
      <c r="AZ132" s="176"/>
      <c r="BA132" s="44"/>
      <c r="BB132" s="44"/>
      <c r="BC132" s="44"/>
      <c r="BD132" s="44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30"/>
      <c r="BV132" s="30"/>
      <c r="BW132" s="37"/>
      <c r="BX132" s="37"/>
      <c r="BY132" s="37"/>
      <c r="BZ132" s="37"/>
      <c r="CA132" s="37"/>
      <c r="CB132" s="37"/>
      <c r="CC132" s="37"/>
      <c r="CD132" s="37"/>
      <c r="CE132" s="37"/>
      <c r="CF132" s="37"/>
      <c r="CG132" s="37"/>
      <c r="CH132" s="37"/>
      <c r="CI132" s="37"/>
      <c r="CJ132" s="37"/>
      <c r="CK132" s="37"/>
      <c r="CL132" s="37"/>
      <c r="CM132" s="37"/>
      <c r="CN132" s="37"/>
      <c r="CO132" s="37"/>
      <c r="CP132" s="37"/>
      <c r="CQ132" s="37"/>
      <c r="CR132" s="37"/>
      <c r="CS132" s="37"/>
      <c r="CT132" s="37"/>
      <c r="CU132" s="37"/>
      <c r="CV132" s="37"/>
      <c r="CW132" s="37"/>
      <c r="CX132" s="37"/>
      <c r="CY132" s="37"/>
      <c r="CZ132" s="37"/>
      <c r="DA132" s="37"/>
      <c r="DB132" s="37"/>
      <c r="DC132" s="37"/>
      <c r="DD132" s="30"/>
      <c r="DE132" s="125"/>
      <c r="DF132" s="29"/>
    </row>
    <row r="133" spans="1:110" ht="5.0999999999999996" customHeight="1" x14ac:dyDescent="0.25">
      <c r="A133" s="30"/>
      <c r="B133" s="30"/>
      <c r="C133" s="30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176"/>
      <c r="AE133" s="176"/>
      <c r="AF133" s="176"/>
      <c r="AG133" s="176"/>
      <c r="AH133" s="176"/>
      <c r="AI133" s="176"/>
      <c r="AJ133" s="176"/>
      <c r="AK133" s="176"/>
      <c r="AL133" s="176"/>
      <c r="AM133" s="176"/>
      <c r="AN133" s="176"/>
      <c r="AO133" s="176"/>
      <c r="AP133" s="176"/>
      <c r="AQ133" s="176"/>
      <c r="AR133" s="176"/>
      <c r="AS133" s="176"/>
      <c r="AT133" s="176"/>
      <c r="AU133" s="176"/>
      <c r="AV133" s="176"/>
      <c r="AW133" s="176"/>
      <c r="AX133" s="176"/>
      <c r="AY133" s="176"/>
      <c r="AZ133" s="176"/>
      <c r="BA133" s="30"/>
      <c r="BB133" s="30"/>
      <c r="BC133" s="30"/>
      <c r="BD133" s="3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30"/>
      <c r="BV133" s="30"/>
      <c r="BW133" s="37"/>
      <c r="BX133" s="37"/>
      <c r="BY133" s="37"/>
      <c r="BZ133" s="37"/>
      <c r="CA133" s="37"/>
      <c r="CB133" s="37"/>
      <c r="CC133" s="37"/>
      <c r="CD133" s="37"/>
      <c r="CE133" s="37"/>
      <c r="CF133" s="37"/>
      <c r="CG133" s="37"/>
      <c r="CH133" s="37"/>
      <c r="CI133" s="37"/>
      <c r="CJ133" s="37"/>
      <c r="CK133" s="37"/>
      <c r="CL133" s="37"/>
      <c r="CM133" s="37"/>
      <c r="CN133" s="37"/>
      <c r="CO133" s="37"/>
      <c r="CP133" s="37"/>
      <c r="CQ133" s="37"/>
      <c r="CR133" s="37"/>
      <c r="CS133" s="37"/>
      <c r="CT133" s="37"/>
      <c r="CU133" s="37"/>
      <c r="CV133" s="37"/>
      <c r="CW133" s="37"/>
      <c r="CX133" s="37"/>
      <c r="CY133" s="37"/>
      <c r="CZ133" s="37"/>
      <c r="DA133" s="37"/>
      <c r="DB133" s="37"/>
      <c r="DC133" s="37"/>
      <c r="DD133" s="30"/>
      <c r="DE133" s="125"/>
      <c r="DF133" s="29"/>
    </row>
    <row r="134" spans="1:110" ht="5.0999999999999996" customHeight="1" x14ac:dyDescent="0.25">
      <c r="A134" s="30"/>
      <c r="B134" s="30"/>
      <c r="C134" s="30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176"/>
      <c r="AE134" s="176"/>
      <c r="AF134" s="176"/>
      <c r="AG134" s="176"/>
      <c r="AH134" s="176"/>
      <c r="AI134" s="176"/>
      <c r="AJ134" s="176"/>
      <c r="AK134" s="176"/>
      <c r="AL134" s="176"/>
      <c r="AM134" s="176"/>
      <c r="AN134" s="176"/>
      <c r="AO134" s="176"/>
      <c r="AP134" s="176"/>
      <c r="AQ134" s="176"/>
      <c r="AR134" s="176"/>
      <c r="AS134" s="176"/>
      <c r="AT134" s="176"/>
      <c r="AU134" s="176"/>
      <c r="AV134" s="176"/>
      <c r="AW134" s="176"/>
      <c r="AX134" s="176"/>
      <c r="AY134" s="176"/>
      <c r="AZ134" s="176"/>
      <c r="BA134" s="30"/>
      <c r="BB134" s="30"/>
      <c r="BC134" s="30"/>
      <c r="BD134" s="3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30"/>
      <c r="BV134" s="30"/>
      <c r="BW134" s="37"/>
      <c r="BX134" s="37"/>
      <c r="BY134" s="37"/>
      <c r="BZ134" s="37"/>
      <c r="CA134" s="37"/>
      <c r="CB134" s="37"/>
      <c r="CC134" s="37"/>
      <c r="CD134" s="37"/>
      <c r="CE134" s="37"/>
      <c r="CF134" s="37"/>
      <c r="CG134" s="37"/>
      <c r="CH134" s="37"/>
      <c r="CI134" s="37"/>
      <c r="CJ134" s="37"/>
      <c r="CK134" s="37"/>
      <c r="CL134" s="37"/>
      <c r="CM134" s="37"/>
      <c r="CN134" s="37"/>
      <c r="CO134" s="37"/>
      <c r="CP134" s="37"/>
      <c r="CQ134" s="37"/>
      <c r="CR134" s="37"/>
      <c r="CS134" s="37"/>
      <c r="CT134" s="37"/>
      <c r="CU134" s="37"/>
      <c r="CV134" s="37"/>
      <c r="CW134" s="37"/>
      <c r="CX134" s="37"/>
      <c r="CY134" s="37"/>
      <c r="CZ134" s="37"/>
      <c r="DA134" s="37"/>
      <c r="DB134" s="37"/>
      <c r="DC134" s="37"/>
      <c r="DD134" s="30"/>
      <c r="DE134" s="125"/>
      <c r="DF134" s="29"/>
    </row>
    <row r="135" spans="1:110" ht="5.0999999999999996" customHeight="1" x14ac:dyDescent="0.25">
      <c r="A135" s="30"/>
      <c r="B135" s="30"/>
      <c r="C135" s="30"/>
      <c r="D135" s="34" t="str">
        <f>IF(LEN(TRIM('4 доп.сведения'!B71))=0," ",'4 доп.сведения'!B71)</f>
        <v xml:space="preserve"> </v>
      </c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176"/>
      <c r="AE135" s="176"/>
      <c r="AF135" s="176"/>
      <c r="AG135" s="176"/>
      <c r="AH135" s="176"/>
      <c r="AI135" s="176"/>
      <c r="AJ135" s="176"/>
      <c r="AK135" s="176"/>
      <c r="AL135" s="176"/>
      <c r="AM135" s="176"/>
      <c r="AN135" s="176"/>
      <c r="AO135" s="176"/>
      <c r="AP135" s="176"/>
      <c r="AQ135" s="176"/>
      <c r="AR135" s="176"/>
      <c r="AS135" s="176"/>
      <c r="AT135" s="176"/>
      <c r="AU135" s="176"/>
      <c r="AV135" s="176"/>
      <c r="AW135" s="176"/>
      <c r="AX135" s="176"/>
      <c r="AY135" s="176"/>
      <c r="AZ135" s="176"/>
      <c r="BA135" s="30"/>
      <c r="BB135" s="30"/>
      <c r="BC135" s="30"/>
      <c r="BD135" s="3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30"/>
      <c r="BV135" s="30"/>
      <c r="BW135" s="37"/>
      <c r="BX135" s="37"/>
      <c r="BY135" s="37"/>
      <c r="BZ135" s="37"/>
      <c r="CA135" s="37"/>
      <c r="CB135" s="37"/>
      <c r="CC135" s="37"/>
      <c r="CD135" s="37"/>
      <c r="CE135" s="37"/>
      <c r="CF135" s="37"/>
      <c r="CG135" s="37"/>
      <c r="CH135" s="37"/>
      <c r="CI135" s="37"/>
      <c r="CJ135" s="37"/>
      <c r="CK135" s="37"/>
      <c r="CL135" s="37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  <c r="DC135" s="37"/>
      <c r="DD135" s="30"/>
      <c r="DE135" s="125"/>
      <c r="DF135" s="29"/>
    </row>
    <row r="136" spans="1:110" ht="5.0999999999999996" customHeight="1" x14ac:dyDescent="0.25">
      <c r="A136" s="30"/>
      <c r="B136" s="30"/>
      <c r="C136" s="30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176"/>
      <c r="AE136" s="176"/>
      <c r="AF136" s="176"/>
      <c r="AG136" s="176"/>
      <c r="AH136" s="176"/>
      <c r="AI136" s="176"/>
      <c r="AJ136" s="176"/>
      <c r="AK136" s="176"/>
      <c r="AL136" s="176"/>
      <c r="AM136" s="176"/>
      <c r="AN136" s="176"/>
      <c r="AO136" s="176"/>
      <c r="AP136" s="176"/>
      <c r="AQ136" s="176"/>
      <c r="AR136" s="176"/>
      <c r="AS136" s="176"/>
      <c r="AT136" s="176"/>
      <c r="AU136" s="176"/>
      <c r="AV136" s="176"/>
      <c r="AW136" s="176"/>
      <c r="AX136" s="176"/>
      <c r="AY136" s="176"/>
      <c r="AZ136" s="176"/>
      <c r="BA136" s="30"/>
      <c r="BB136" s="30"/>
      <c r="BC136" s="30"/>
      <c r="BD136" s="3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30"/>
      <c r="BV136" s="30"/>
      <c r="BW136" s="37"/>
      <c r="BX136" s="37"/>
      <c r="BY136" s="37"/>
      <c r="BZ136" s="37"/>
      <c r="CA136" s="37"/>
      <c r="CB136" s="37"/>
      <c r="CC136" s="37"/>
      <c r="CD136" s="37"/>
      <c r="CE136" s="37"/>
      <c r="CF136" s="37"/>
      <c r="CG136" s="37"/>
      <c r="CH136" s="37"/>
      <c r="CI136" s="37"/>
      <c r="CJ136" s="37"/>
      <c r="CK136" s="37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  <c r="DC136" s="37"/>
      <c r="DD136" s="30"/>
      <c r="DE136" s="125"/>
      <c r="DF136" s="29"/>
    </row>
    <row r="137" spans="1:110" ht="5.0999999999999996" customHeight="1" x14ac:dyDescent="0.25">
      <c r="A137" s="30"/>
      <c r="B137" s="30"/>
      <c r="C137" s="30"/>
      <c r="D137" s="34" t="str">
        <f>IF(LEN(TRIM('4 доп.сведения'!B72))=0," ",'4 доп.сведения'!B72)</f>
        <v xml:space="preserve"> </v>
      </c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176"/>
      <c r="AE137" s="176"/>
      <c r="AF137" s="176"/>
      <c r="AG137" s="176"/>
      <c r="AH137" s="176"/>
      <c r="AI137" s="176"/>
      <c r="AJ137" s="176"/>
      <c r="AK137" s="176"/>
      <c r="AL137" s="176"/>
      <c r="AM137" s="176"/>
      <c r="AN137" s="176"/>
      <c r="AO137" s="176"/>
      <c r="AP137" s="176"/>
      <c r="AQ137" s="176"/>
      <c r="AR137" s="176"/>
      <c r="AS137" s="176"/>
      <c r="AT137" s="176"/>
      <c r="AU137" s="176"/>
      <c r="AV137" s="176"/>
      <c r="AW137" s="176"/>
      <c r="AX137" s="176"/>
      <c r="AY137" s="176"/>
      <c r="AZ137" s="176"/>
      <c r="BA137" s="30"/>
      <c r="BB137" s="30"/>
      <c r="BC137" s="30"/>
      <c r="BD137" s="3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30"/>
      <c r="BV137" s="30"/>
      <c r="BW137" s="37"/>
      <c r="BX137" s="37"/>
      <c r="BY137" s="37"/>
      <c r="BZ137" s="37"/>
      <c r="CA137" s="37"/>
      <c r="CB137" s="37"/>
      <c r="CC137" s="37"/>
      <c r="CD137" s="37"/>
      <c r="CE137" s="37"/>
      <c r="CF137" s="37"/>
      <c r="CG137" s="37"/>
      <c r="CH137" s="37"/>
      <c r="CI137" s="37"/>
      <c r="CJ137" s="37"/>
      <c r="CK137" s="37"/>
      <c r="CL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C137" s="37"/>
      <c r="DD137" s="30"/>
      <c r="DE137" s="125"/>
      <c r="DF137" s="29"/>
    </row>
    <row r="138" spans="1:110" ht="5.0999999999999996" customHeight="1" x14ac:dyDescent="0.25">
      <c r="A138" s="30"/>
      <c r="B138" s="30"/>
      <c r="C138" s="30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176"/>
      <c r="AE138" s="176"/>
      <c r="AF138" s="176"/>
      <c r="AG138" s="176"/>
      <c r="AH138" s="176"/>
      <c r="AI138" s="176"/>
      <c r="AJ138" s="176"/>
      <c r="AK138" s="176"/>
      <c r="AL138" s="176"/>
      <c r="AM138" s="176"/>
      <c r="AN138" s="176"/>
      <c r="AO138" s="176"/>
      <c r="AP138" s="176"/>
      <c r="AQ138" s="176"/>
      <c r="AR138" s="176"/>
      <c r="AS138" s="176"/>
      <c r="AT138" s="176"/>
      <c r="AU138" s="176"/>
      <c r="AV138" s="176"/>
      <c r="AW138" s="176"/>
      <c r="AX138" s="176"/>
      <c r="AY138" s="176"/>
      <c r="AZ138" s="176"/>
      <c r="BA138" s="30"/>
      <c r="BB138" s="30"/>
      <c r="BC138" s="30"/>
      <c r="BD138" s="3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30"/>
      <c r="BV138" s="30"/>
      <c r="BW138" s="37"/>
      <c r="BX138" s="37"/>
      <c r="BY138" s="37"/>
      <c r="BZ138" s="37"/>
      <c r="CA138" s="37"/>
      <c r="CB138" s="37"/>
      <c r="CC138" s="37"/>
      <c r="CD138" s="37"/>
      <c r="CE138" s="37"/>
      <c r="CF138" s="37"/>
      <c r="CG138" s="37"/>
      <c r="CH138" s="37"/>
      <c r="CI138" s="37"/>
      <c r="CJ138" s="37"/>
      <c r="CK138" s="37"/>
      <c r="CL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C138" s="37"/>
      <c r="DD138" s="30"/>
      <c r="DE138" s="125"/>
      <c r="DF138" s="29"/>
    </row>
    <row r="139" spans="1:110" ht="5.0999999999999996" customHeight="1" x14ac:dyDescent="0.25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145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30"/>
      <c r="BV139" s="30"/>
      <c r="BW139" s="37"/>
      <c r="BX139" s="37"/>
      <c r="BY139" s="37"/>
      <c r="BZ139" s="37"/>
      <c r="CA139" s="37"/>
      <c r="CB139" s="37"/>
      <c r="CC139" s="37"/>
      <c r="CD139" s="37"/>
      <c r="CE139" s="37"/>
      <c r="CF139" s="37"/>
      <c r="CG139" s="37"/>
      <c r="CH139" s="37"/>
      <c r="CI139" s="37"/>
      <c r="CJ139" s="37"/>
      <c r="CK139" s="37"/>
      <c r="CL139" s="37"/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  <c r="DB139" s="37"/>
      <c r="DC139" s="37"/>
      <c r="DD139" s="30"/>
      <c r="DE139" s="125"/>
      <c r="DF139" s="29"/>
    </row>
    <row r="140" spans="1:110" ht="5.0999999999999996" customHeight="1" x14ac:dyDescent="0.25">
      <c r="A140" s="30"/>
      <c r="B140" s="30"/>
      <c r="C140" s="30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30"/>
      <c r="BB140" s="30"/>
      <c r="BC140" s="30"/>
      <c r="BD140" s="30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30"/>
      <c r="BV140" s="30"/>
      <c r="BW140" s="37"/>
      <c r="BX140" s="37"/>
      <c r="BY140" s="37"/>
      <c r="BZ140" s="37"/>
      <c r="CA140" s="37"/>
      <c r="CB140" s="37"/>
      <c r="CC140" s="37"/>
      <c r="CD140" s="37"/>
      <c r="CE140" s="37"/>
      <c r="CF140" s="37"/>
      <c r="CG140" s="37"/>
      <c r="CH140" s="37"/>
      <c r="CI140" s="37"/>
      <c r="CJ140" s="37"/>
      <c r="CK140" s="37"/>
      <c r="CL140" s="37"/>
      <c r="CM140" s="37"/>
      <c r="CN140" s="37"/>
      <c r="CO140" s="37"/>
      <c r="CP140" s="37"/>
      <c r="CQ140" s="37"/>
      <c r="CR140" s="37"/>
      <c r="CS140" s="37"/>
      <c r="CT140" s="37"/>
      <c r="CU140" s="37"/>
      <c r="CV140" s="37"/>
      <c r="CW140" s="37"/>
      <c r="CX140" s="37"/>
      <c r="CY140" s="37"/>
      <c r="CZ140" s="37"/>
      <c r="DA140" s="37"/>
      <c r="DB140" s="37"/>
      <c r="DC140" s="37"/>
      <c r="DD140" s="30"/>
      <c r="DE140" s="125"/>
      <c r="DF140" s="29"/>
    </row>
    <row r="141" spans="1:110" ht="5.0999999999999996" customHeight="1" x14ac:dyDescent="0.25">
      <c r="A141" s="30"/>
      <c r="B141" s="30"/>
      <c r="C141" s="30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30"/>
      <c r="BB141" s="30"/>
      <c r="BC141" s="30"/>
      <c r="BD141" s="30"/>
      <c r="BE141" s="137"/>
      <c r="BF141" s="137"/>
      <c r="BG141" s="137"/>
      <c r="BH141" s="137"/>
      <c r="BI141" s="137"/>
      <c r="BJ141" s="137"/>
      <c r="BK141" s="137"/>
      <c r="BL141" s="137"/>
      <c r="BM141" s="137"/>
      <c r="BN141" s="137"/>
      <c r="BO141" s="137"/>
      <c r="BP141" s="137"/>
      <c r="BQ141" s="137"/>
      <c r="BR141" s="137"/>
      <c r="BS141" s="137"/>
      <c r="BT141" s="137"/>
      <c r="BU141" s="30"/>
      <c r="BV141" s="30"/>
      <c r="BW141" s="41"/>
      <c r="BX141" s="41"/>
      <c r="BY141" s="41"/>
      <c r="BZ141" s="41"/>
      <c r="CA141" s="41"/>
      <c r="CB141" s="41"/>
      <c r="CC141" s="41"/>
      <c r="CD141" s="41"/>
      <c r="CE141" s="41"/>
      <c r="CF141" s="41"/>
      <c r="CG141" s="41"/>
      <c r="CH141" s="41"/>
      <c r="CI141" s="41"/>
      <c r="CJ141" s="41"/>
      <c r="CK141" s="41"/>
      <c r="CL141" s="41"/>
      <c r="CM141" s="41"/>
      <c r="CN141" s="41"/>
      <c r="CO141" s="41"/>
      <c r="CP141" s="41"/>
      <c r="CQ141" s="41"/>
      <c r="CR141" s="41"/>
      <c r="CS141" s="41"/>
      <c r="CT141" s="41"/>
      <c r="CU141" s="41"/>
      <c r="CV141" s="41"/>
      <c r="CW141" s="41"/>
      <c r="CX141" s="41"/>
      <c r="CY141" s="41"/>
      <c r="CZ141" s="41"/>
      <c r="DA141" s="41"/>
      <c r="DB141" s="41"/>
      <c r="DC141" s="41"/>
      <c r="DD141" s="30"/>
      <c r="DE141" s="125"/>
      <c r="DF141" s="29"/>
    </row>
    <row r="142" spans="1:110" ht="5.0999999999999996" customHeight="1" x14ac:dyDescent="0.25">
      <c r="A142" s="30"/>
      <c r="B142" s="30"/>
      <c r="C142" s="30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30"/>
      <c r="BB142" s="30"/>
      <c r="BC142" s="30"/>
      <c r="BD142" s="30"/>
      <c r="BE142" s="169" t="str">
        <f>Диплом!B7</f>
        <v>YYYY/Б24</v>
      </c>
      <c r="BF142" s="169"/>
      <c r="BG142" s="169"/>
      <c r="BH142" s="169"/>
      <c r="BI142" s="169"/>
      <c r="BJ142" s="169"/>
      <c r="BK142" s="169"/>
      <c r="BL142" s="169"/>
      <c r="BM142" s="169"/>
      <c r="BN142" s="169"/>
      <c r="BO142" s="169"/>
      <c r="BP142" s="169"/>
      <c r="BQ142" s="169"/>
      <c r="BR142" s="169"/>
      <c r="BS142" s="169"/>
      <c r="BT142" s="169"/>
      <c r="BU142" s="30"/>
      <c r="BV142" s="30"/>
      <c r="BW142" s="41"/>
      <c r="BX142" s="41"/>
      <c r="BY142" s="41"/>
      <c r="BZ142" s="41"/>
      <c r="CA142" s="41"/>
      <c r="CB142" s="41"/>
      <c r="CC142" s="41"/>
      <c r="CD142" s="41"/>
      <c r="CE142" s="41"/>
      <c r="CF142" s="41"/>
      <c r="CG142" s="41"/>
      <c r="CH142" s="41"/>
      <c r="CI142" s="41"/>
      <c r="CJ142" s="41"/>
      <c r="CK142" s="41"/>
      <c r="CL142" s="41"/>
      <c r="CM142" s="41"/>
      <c r="CN142" s="41"/>
      <c r="CO142" s="41"/>
      <c r="CP142" s="41"/>
      <c r="CQ142" s="41"/>
      <c r="CR142" s="41"/>
      <c r="CS142" s="41"/>
      <c r="CT142" s="41"/>
      <c r="CU142" s="41"/>
      <c r="CV142" s="41"/>
      <c r="CW142" s="41"/>
      <c r="CX142" s="41"/>
      <c r="CY142" s="41"/>
      <c r="CZ142" s="41"/>
      <c r="DA142" s="41"/>
      <c r="DB142" s="41"/>
      <c r="DC142" s="41"/>
      <c r="DD142" s="30"/>
      <c r="DE142" s="125"/>
      <c r="DF142" s="29"/>
    </row>
    <row r="143" spans="1:110" ht="5.0999999999999996" customHeight="1" x14ac:dyDescent="0.25">
      <c r="A143" s="30"/>
      <c r="B143" s="30"/>
      <c r="C143" s="30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30"/>
      <c r="BB143" s="30"/>
      <c r="BC143" s="30"/>
      <c r="BD143" s="30"/>
      <c r="BE143" s="169"/>
      <c r="BF143" s="169"/>
      <c r="BG143" s="169"/>
      <c r="BH143" s="169"/>
      <c r="BI143" s="169"/>
      <c r="BJ143" s="169"/>
      <c r="BK143" s="169"/>
      <c r="BL143" s="169"/>
      <c r="BM143" s="169"/>
      <c r="BN143" s="169"/>
      <c r="BO143" s="169"/>
      <c r="BP143" s="169"/>
      <c r="BQ143" s="169"/>
      <c r="BR143" s="169"/>
      <c r="BS143" s="169"/>
      <c r="BT143" s="169"/>
      <c r="BU143" s="30"/>
      <c r="BV143" s="30"/>
      <c r="BW143" s="41"/>
      <c r="BX143" s="41"/>
      <c r="BY143" s="41"/>
      <c r="BZ143" s="41"/>
      <c r="CA143" s="41"/>
      <c r="CB143" s="41"/>
      <c r="CC143" s="41"/>
      <c r="CD143" s="41"/>
      <c r="CE143" s="41"/>
      <c r="CF143" s="41"/>
      <c r="CG143" s="41"/>
      <c r="CH143" s="41"/>
      <c r="CI143" s="41"/>
      <c r="CJ143" s="41"/>
      <c r="CK143" s="41"/>
      <c r="CL143" s="41"/>
      <c r="CM143" s="41"/>
      <c r="CN143" s="41"/>
      <c r="CO143" s="41"/>
      <c r="CP143" s="41"/>
      <c r="CQ143" s="41"/>
      <c r="CR143" s="41"/>
      <c r="CS143" s="41"/>
      <c r="CT143" s="41"/>
      <c r="CU143" s="41"/>
      <c r="CV143" s="41"/>
      <c r="CW143" s="41"/>
      <c r="CX143" s="41"/>
      <c r="CY143" s="41"/>
      <c r="CZ143" s="41"/>
      <c r="DA143" s="41"/>
      <c r="DB143" s="41"/>
      <c r="DC143" s="41"/>
      <c r="DD143" s="30"/>
      <c r="DE143" s="125"/>
      <c r="DF143" s="29"/>
    </row>
    <row r="144" spans="1:110" ht="5.0999999999999996" customHeight="1" x14ac:dyDescent="0.2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30"/>
      <c r="BB144" s="30"/>
      <c r="BC144" s="30"/>
      <c r="BD144" s="30"/>
      <c r="BE144" s="169"/>
      <c r="BF144" s="169"/>
      <c r="BG144" s="169"/>
      <c r="BH144" s="169"/>
      <c r="BI144" s="169"/>
      <c r="BJ144" s="169"/>
      <c r="BK144" s="169"/>
      <c r="BL144" s="169"/>
      <c r="BM144" s="169"/>
      <c r="BN144" s="169"/>
      <c r="BO144" s="169"/>
      <c r="BP144" s="169"/>
      <c r="BQ144" s="169"/>
      <c r="BR144" s="169"/>
      <c r="BS144" s="169"/>
      <c r="BT144" s="169"/>
      <c r="BU144" s="30"/>
      <c r="BV144" s="30"/>
      <c r="BW144" s="41"/>
      <c r="BX144" s="41"/>
      <c r="BY144" s="41"/>
      <c r="BZ144" s="41"/>
      <c r="CA144" s="41"/>
      <c r="CB144" s="41"/>
      <c r="CC144" s="41"/>
      <c r="CD144" s="41"/>
      <c r="CE144" s="41"/>
      <c r="CF144" s="41"/>
      <c r="CG144" s="41"/>
      <c r="CH144" s="41"/>
      <c r="CI144" s="41"/>
      <c r="CJ144" s="41"/>
      <c r="CK144" s="41"/>
      <c r="CL144" s="41"/>
      <c r="CM144" s="41"/>
      <c r="CN144" s="41"/>
      <c r="CO144" s="41"/>
      <c r="CP144" s="41"/>
      <c r="CQ144" s="41"/>
      <c r="CR144" s="41"/>
      <c r="CS144" s="41"/>
      <c r="CT144" s="41"/>
      <c r="CU144" s="41"/>
      <c r="CV144" s="41"/>
      <c r="CW144" s="41"/>
      <c r="CX144" s="41"/>
      <c r="CY144" s="41"/>
      <c r="CZ144" s="41"/>
      <c r="DA144" s="41"/>
      <c r="DB144" s="41"/>
      <c r="DC144" s="41"/>
      <c r="DD144" s="30"/>
      <c r="DE144" s="125"/>
      <c r="DF144" s="29"/>
    </row>
    <row r="145" spans="1:110" ht="5.0999999999999996" customHeight="1" x14ac:dyDescent="0.2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177"/>
      <c r="AE145" s="177"/>
      <c r="AF145" s="177"/>
      <c r="AG145" s="177"/>
      <c r="AH145" s="177"/>
      <c r="AI145" s="177"/>
      <c r="AJ145" s="177"/>
      <c r="AK145" s="177"/>
      <c r="AL145" s="177"/>
      <c r="AM145" s="177"/>
      <c r="AN145" s="177"/>
      <c r="AO145" s="177"/>
      <c r="AP145" s="177"/>
      <c r="AQ145" s="177"/>
      <c r="AR145" s="177"/>
      <c r="AS145" s="177"/>
      <c r="AT145" s="177"/>
      <c r="AU145" s="177"/>
      <c r="AV145" s="177"/>
      <c r="AW145" s="177"/>
      <c r="AX145" s="177"/>
      <c r="AY145" s="177"/>
      <c r="AZ145" s="177"/>
      <c r="BA145" s="30"/>
      <c r="BB145" s="30"/>
      <c r="BC145" s="30"/>
      <c r="BD145" s="30"/>
      <c r="BE145" s="169"/>
      <c r="BF145" s="169"/>
      <c r="BG145" s="169"/>
      <c r="BH145" s="169"/>
      <c r="BI145" s="169"/>
      <c r="BJ145" s="169"/>
      <c r="BK145" s="169"/>
      <c r="BL145" s="169"/>
      <c r="BM145" s="169"/>
      <c r="BN145" s="169"/>
      <c r="BO145" s="169"/>
      <c r="BP145" s="169"/>
      <c r="BQ145" s="169"/>
      <c r="BR145" s="169"/>
      <c r="BS145" s="169"/>
      <c r="BT145" s="169"/>
      <c r="BU145" s="30"/>
      <c r="BV145" s="30"/>
      <c r="BW145" s="41"/>
      <c r="BX145" s="41"/>
      <c r="BY145" s="41"/>
      <c r="BZ145" s="41"/>
      <c r="CA145" s="41"/>
      <c r="CB145" s="41"/>
      <c r="CC145" s="41"/>
      <c r="CD145" s="41"/>
      <c r="CE145" s="41"/>
      <c r="CF145" s="41"/>
      <c r="CG145" s="41"/>
      <c r="CH145" s="41"/>
      <c r="CI145" s="41"/>
      <c r="CJ145" s="41"/>
      <c r="CK145" s="41"/>
      <c r="CL145" s="41"/>
      <c r="CM145" s="41"/>
      <c r="CN145" s="41"/>
      <c r="CO145" s="41"/>
      <c r="CP145" s="41"/>
      <c r="CQ145" s="41"/>
      <c r="CR145" s="41"/>
      <c r="CS145" s="41"/>
      <c r="CT145" s="41"/>
      <c r="CU145" s="41"/>
      <c r="CV145" s="41"/>
      <c r="CW145" s="41"/>
      <c r="CX145" s="41"/>
      <c r="CY145" s="41"/>
      <c r="CZ145" s="41"/>
      <c r="DA145" s="41"/>
      <c r="DB145" s="41"/>
      <c r="DC145" s="41"/>
      <c r="DD145" s="30"/>
      <c r="DE145" s="125"/>
      <c r="DF145" s="29"/>
    </row>
    <row r="146" spans="1:110" ht="5.0999999999999996" customHeight="1" x14ac:dyDescent="0.2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177"/>
      <c r="AE146" s="177"/>
      <c r="AF146" s="177"/>
      <c r="AG146" s="177"/>
      <c r="AH146" s="177"/>
      <c r="AI146" s="177"/>
      <c r="AJ146" s="177"/>
      <c r="AK146" s="177"/>
      <c r="AL146" s="177"/>
      <c r="AM146" s="177"/>
      <c r="AN146" s="177"/>
      <c r="AO146" s="177"/>
      <c r="AP146" s="177"/>
      <c r="AQ146" s="177"/>
      <c r="AR146" s="177"/>
      <c r="AS146" s="177"/>
      <c r="AT146" s="177"/>
      <c r="AU146" s="177"/>
      <c r="AV146" s="177"/>
      <c r="AW146" s="177"/>
      <c r="AX146" s="177"/>
      <c r="AY146" s="177"/>
      <c r="AZ146" s="177"/>
      <c r="BA146" s="30"/>
      <c r="BB146" s="30"/>
      <c r="BC146" s="30"/>
      <c r="BD146" s="30"/>
      <c r="BE146" s="169"/>
      <c r="BF146" s="169"/>
      <c r="BG146" s="169"/>
      <c r="BH146" s="169"/>
      <c r="BI146" s="169"/>
      <c r="BJ146" s="169"/>
      <c r="BK146" s="169"/>
      <c r="BL146" s="169"/>
      <c r="BM146" s="169"/>
      <c r="BN146" s="169"/>
      <c r="BO146" s="169"/>
      <c r="BP146" s="169"/>
      <c r="BQ146" s="169"/>
      <c r="BR146" s="169"/>
      <c r="BS146" s="169"/>
      <c r="BT146" s="169"/>
      <c r="BU146" s="30"/>
      <c r="BV146" s="175" t="str">
        <f>'1 Обладатель диплома'!B17 &amp;" "&amp;'1 Обладатель диплома'!B18&amp;" "&amp;'1 Обладатель диплома'!B19&amp;" "&amp;'1 Обладатель диплома'!B20</f>
        <v xml:space="preserve">   </v>
      </c>
      <c r="BW146" s="175"/>
      <c r="BX146" s="175"/>
      <c r="BY146" s="175"/>
      <c r="BZ146" s="175"/>
      <c r="CA146" s="175"/>
      <c r="CB146" s="175"/>
      <c r="CC146" s="175"/>
      <c r="CD146" s="175"/>
      <c r="CE146" s="175"/>
      <c r="CF146" s="175"/>
      <c r="CG146" s="175"/>
      <c r="CH146" s="175"/>
      <c r="CI146" s="175"/>
      <c r="CJ146" s="175"/>
      <c r="CK146" s="175"/>
      <c r="CL146" s="175"/>
      <c r="CM146" s="175"/>
      <c r="CN146" s="175"/>
      <c r="CO146" s="175"/>
      <c r="CP146" s="175"/>
      <c r="CQ146" s="175"/>
      <c r="CR146" s="175"/>
      <c r="CS146" s="175"/>
      <c r="CT146" s="175"/>
      <c r="CU146" s="175"/>
      <c r="CV146" s="175"/>
      <c r="CW146" s="175"/>
      <c r="CX146" s="175"/>
      <c r="CY146" s="175"/>
      <c r="CZ146" s="175"/>
      <c r="DA146" s="175"/>
      <c r="DB146" s="41"/>
      <c r="DC146" s="41"/>
      <c r="DD146" s="30"/>
      <c r="DE146" s="125"/>
      <c r="DF146" s="29"/>
    </row>
    <row r="147" spans="1:110" ht="5.0999999999999996" customHeight="1" x14ac:dyDescent="0.2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177"/>
      <c r="AE147" s="177"/>
      <c r="AF147" s="177"/>
      <c r="AG147" s="177"/>
      <c r="AH147" s="177"/>
      <c r="AI147" s="177"/>
      <c r="AJ147" s="177"/>
      <c r="AK147" s="177"/>
      <c r="AL147" s="177"/>
      <c r="AM147" s="177"/>
      <c r="AN147" s="177"/>
      <c r="AO147" s="177"/>
      <c r="AP147" s="177"/>
      <c r="AQ147" s="177"/>
      <c r="AR147" s="177"/>
      <c r="AS147" s="177"/>
      <c r="AT147" s="177"/>
      <c r="AU147" s="177"/>
      <c r="AV147" s="177"/>
      <c r="AW147" s="177"/>
      <c r="AX147" s="177"/>
      <c r="AY147" s="177"/>
      <c r="AZ147" s="177"/>
      <c r="BA147" s="30"/>
      <c r="BB147" s="30"/>
      <c r="BC147" s="30"/>
      <c r="BD147" s="30"/>
      <c r="BE147" s="148"/>
      <c r="BF147" s="148"/>
      <c r="BG147" s="148"/>
      <c r="BH147" s="148"/>
      <c r="BI147" s="148"/>
      <c r="BJ147" s="148"/>
      <c r="BK147" s="148"/>
      <c r="BL147" s="148"/>
      <c r="BM147" s="148"/>
      <c r="BN147" s="148"/>
      <c r="BO147" s="148"/>
      <c r="BP147" s="148"/>
      <c r="BQ147" s="148"/>
      <c r="BR147" s="148"/>
      <c r="BS147" s="148"/>
      <c r="BT147" s="148"/>
      <c r="BU147" s="30"/>
      <c r="BV147" s="175"/>
      <c r="BW147" s="175"/>
      <c r="BX147" s="175"/>
      <c r="BY147" s="175"/>
      <c r="BZ147" s="175"/>
      <c r="CA147" s="175"/>
      <c r="CB147" s="175"/>
      <c r="CC147" s="175"/>
      <c r="CD147" s="175"/>
      <c r="CE147" s="175"/>
      <c r="CF147" s="175"/>
      <c r="CG147" s="175"/>
      <c r="CH147" s="175"/>
      <c r="CI147" s="175"/>
      <c r="CJ147" s="175"/>
      <c r="CK147" s="175"/>
      <c r="CL147" s="175"/>
      <c r="CM147" s="175"/>
      <c r="CN147" s="175"/>
      <c r="CO147" s="175"/>
      <c r="CP147" s="175"/>
      <c r="CQ147" s="175"/>
      <c r="CR147" s="175"/>
      <c r="CS147" s="175"/>
      <c r="CT147" s="175"/>
      <c r="CU147" s="175"/>
      <c r="CV147" s="175"/>
      <c r="CW147" s="175"/>
      <c r="CX147" s="175"/>
      <c r="CY147" s="175"/>
      <c r="CZ147" s="175"/>
      <c r="DA147" s="175"/>
      <c r="DB147" s="41"/>
      <c r="DC147" s="41"/>
      <c r="DD147" s="30"/>
      <c r="DE147" s="125"/>
      <c r="DF147" s="29"/>
    </row>
    <row r="148" spans="1:110" ht="5.0999999999999996" customHeight="1" x14ac:dyDescent="0.2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177"/>
      <c r="AE148" s="177"/>
      <c r="AF148" s="177"/>
      <c r="AG148" s="177"/>
      <c r="AH148" s="177"/>
      <c r="AI148" s="177"/>
      <c r="AJ148" s="177"/>
      <c r="AK148" s="177"/>
      <c r="AL148" s="177"/>
      <c r="AM148" s="177"/>
      <c r="AN148" s="177"/>
      <c r="AO148" s="177"/>
      <c r="AP148" s="177"/>
      <c r="AQ148" s="177"/>
      <c r="AR148" s="177"/>
      <c r="AS148" s="177"/>
      <c r="AT148" s="177"/>
      <c r="AU148" s="177"/>
      <c r="AV148" s="177"/>
      <c r="AW148" s="177"/>
      <c r="AX148" s="177"/>
      <c r="AY148" s="177"/>
      <c r="AZ148" s="177"/>
      <c r="BA148" s="30"/>
      <c r="BB148" s="30"/>
      <c r="BC148" s="30"/>
      <c r="BD148" s="30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30"/>
      <c r="BV148" s="175"/>
      <c r="BW148" s="175"/>
      <c r="BX148" s="175"/>
      <c r="BY148" s="175"/>
      <c r="BZ148" s="175"/>
      <c r="CA148" s="175"/>
      <c r="CB148" s="175"/>
      <c r="CC148" s="175"/>
      <c r="CD148" s="175"/>
      <c r="CE148" s="175"/>
      <c r="CF148" s="175"/>
      <c r="CG148" s="175"/>
      <c r="CH148" s="175"/>
      <c r="CI148" s="175"/>
      <c r="CJ148" s="175"/>
      <c r="CK148" s="175"/>
      <c r="CL148" s="175"/>
      <c r="CM148" s="175"/>
      <c r="CN148" s="175"/>
      <c r="CO148" s="175"/>
      <c r="CP148" s="175"/>
      <c r="CQ148" s="175"/>
      <c r="CR148" s="175"/>
      <c r="CS148" s="175"/>
      <c r="CT148" s="175"/>
      <c r="CU148" s="175"/>
      <c r="CV148" s="175"/>
      <c r="CW148" s="175"/>
      <c r="CX148" s="175"/>
      <c r="CY148" s="175"/>
      <c r="CZ148" s="175"/>
      <c r="DA148" s="175"/>
      <c r="DB148" s="30"/>
      <c r="DC148" s="30"/>
      <c r="DD148" s="30"/>
      <c r="DE148" s="125"/>
      <c r="DF148" s="29"/>
    </row>
    <row r="149" spans="1:110" ht="5.0999999999999996" customHeight="1" x14ac:dyDescent="0.2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177"/>
      <c r="AE149" s="177"/>
      <c r="AF149" s="177"/>
      <c r="AG149" s="177"/>
      <c r="AH149" s="177"/>
      <c r="AI149" s="177"/>
      <c r="AJ149" s="177"/>
      <c r="AK149" s="177"/>
      <c r="AL149" s="177"/>
      <c r="AM149" s="177"/>
      <c r="AN149" s="177"/>
      <c r="AO149" s="177"/>
      <c r="AP149" s="177"/>
      <c r="AQ149" s="177"/>
      <c r="AR149" s="177"/>
      <c r="AS149" s="177"/>
      <c r="AT149" s="177"/>
      <c r="AU149" s="177"/>
      <c r="AV149" s="177"/>
      <c r="AW149" s="177"/>
      <c r="AX149" s="177"/>
      <c r="AY149" s="177"/>
      <c r="AZ149" s="177"/>
      <c r="BA149" s="30"/>
      <c r="BB149" s="30"/>
      <c r="BC149" s="30"/>
      <c r="BD149" s="30"/>
      <c r="BE149" s="137"/>
      <c r="BF149" s="137"/>
      <c r="BG149" s="137"/>
      <c r="BH149" s="137"/>
      <c r="BI149" s="137"/>
      <c r="BJ149" s="137"/>
      <c r="BK149" s="137"/>
      <c r="BL149" s="137"/>
      <c r="BM149" s="137"/>
      <c r="BN149" s="137"/>
      <c r="BO149" s="137"/>
      <c r="BP149" s="137"/>
      <c r="BQ149" s="137"/>
      <c r="BR149" s="137"/>
      <c r="BS149" s="137"/>
      <c r="BT149" s="137"/>
      <c r="BU149" s="47"/>
      <c r="BV149" s="175"/>
      <c r="BW149" s="175"/>
      <c r="BX149" s="175"/>
      <c r="BY149" s="175"/>
      <c r="BZ149" s="175"/>
      <c r="CA149" s="175"/>
      <c r="CB149" s="175"/>
      <c r="CC149" s="175"/>
      <c r="CD149" s="175"/>
      <c r="CE149" s="175"/>
      <c r="CF149" s="175"/>
      <c r="CG149" s="175"/>
      <c r="CH149" s="175"/>
      <c r="CI149" s="175"/>
      <c r="CJ149" s="175"/>
      <c r="CK149" s="175"/>
      <c r="CL149" s="175"/>
      <c r="CM149" s="175"/>
      <c r="CN149" s="175"/>
      <c r="CO149" s="175"/>
      <c r="CP149" s="175"/>
      <c r="CQ149" s="175"/>
      <c r="CR149" s="175"/>
      <c r="CS149" s="175"/>
      <c r="CT149" s="175"/>
      <c r="CU149" s="175"/>
      <c r="CV149" s="175"/>
      <c r="CW149" s="175"/>
      <c r="CX149" s="175"/>
      <c r="CY149" s="175"/>
      <c r="CZ149" s="175"/>
      <c r="DA149" s="175"/>
      <c r="DB149" s="30"/>
      <c r="DC149" s="30"/>
      <c r="DD149" s="30"/>
      <c r="DE149" s="125"/>
      <c r="DF149" s="29"/>
    </row>
    <row r="150" spans="1:110" ht="5.0999999999999996" customHeight="1" x14ac:dyDescent="0.2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177"/>
      <c r="AE150" s="177"/>
      <c r="AF150" s="177"/>
      <c r="AG150" s="177"/>
      <c r="AH150" s="177"/>
      <c r="AI150" s="177"/>
      <c r="AJ150" s="177"/>
      <c r="AK150" s="177"/>
      <c r="AL150" s="177"/>
      <c r="AM150" s="177"/>
      <c r="AN150" s="177"/>
      <c r="AO150" s="177"/>
      <c r="AP150" s="177"/>
      <c r="AQ150" s="177"/>
      <c r="AR150" s="177"/>
      <c r="AS150" s="177"/>
      <c r="AT150" s="177"/>
      <c r="AU150" s="177"/>
      <c r="AV150" s="177"/>
      <c r="AW150" s="177"/>
      <c r="AX150" s="177"/>
      <c r="AY150" s="177"/>
      <c r="AZ150" s="177"/>
      <c r="BA150" s="30"/>
      <c r="BB150" s="30"/>
      <c r="BC150" s="30"/>
      <c r="BD150" s="30"/>
      <c r="BE150" s="169"/>
      <c r="BF150" s="169"/>
      <c r="BG150" s="169"/>
      <c r="BH150" s="169"/>
      <c r="BI150" s="169"/>
      <c r="BJ150" s="169"/>
      <c r="BK150" s="169"/>
      <c r="BL150" s="169"/>
      <c r="BM150" s="169"/>
      <c r="BN150" s="169"/>
      <c r="BO150" s="169"/>
      <c r="BP150" s="169"/>
      <c r="BQ150" s="169"/>
      <c r="BR150" s="169"/>
      <c r="BS150" s="169"/>
      <c r="BT150" s="169"/>
      <c r="BU150" s="47"/>
      <c r="BV150" s="175"/>
      <c r="BW150" s="175"/>
      <c r="BX150" s="175"/>
      <c r="BY150" s="175"/>
      <c r="BZ150" s="175"/>
      <c r="CA150" s="175"/>
      <c r="CB150" s="175"/>
      <c r="CC150" s="175"/>
      <c r="CD150" s="175"/>
      <c r="CE150" s="175"/>
      <c r="CF150" s="175"/>
      <c r="CG150" s="175"/>
      <c r="CH150" s="175"/>
      <c r="CI150" s="175"/>
      <c r="CJ150" s="175"/>
      <c r="CK150" s="175"/>
      <c r="CL150" s="175"/>
      <c r="CM150" s="175"/>
      <c r="CN150" s="175"/>
      <c r="CO150" s="175"/>
      <c r="CP150" s="175"/>
      <c r="CQ150" s="175"/>
      <c r="CR150" s="175"/>
      <c r="CS150" s="175"/>
      <c r="CT150" s="175"/>
      <c r="CU150" s="175"/>
      <c r="CV150" s="175"/>
      <c r="CW150" s="175"/>
      <c r="CX150" s="175"/>
      <c r="CY150" s="175"/>
      <c r="CZ150" s="175"/>
      <c r="DA150" s="175"/>
      <c r="DB150" s="30"/>
      <c r="DC150" s="30"/>
      <c r="DD150" s="30"/>
      <c r="DE150" s="125"/>
      <c r="DF150" s="29"/>
    </row>
    <row r="151" spans="1:110" ht="5.0999999999999996" customHeight="1" x14ac:dyDescent="0.2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177"/>
      <c r="AE151" s="177"/>
      <c r="AF151" s="177"/>
      <c r="AG151" s="177"/>
      <c r="AH151" s="177"/>
      <c r="AI151" s="177"/>
      <c r="AJ151" s="177"/>
      <c r="AK151" s="177"/>
      <c r="AL151" s="177"/>
      <c r="AM151" s="177"/>
      <c r="AN151" s="177"/>
      <c r="AO151" s="177"/>
      <c r="AP151" s="177"/>
      <c r="AQ151" s="177"/>
      <c r="AR151" s="177"/>
      <c r="AS151" s="177"/>
      <c r="AT151" s="177"/>
      <c r="AU151" s="177"/>
      <c r="AV151" s="177"/>
      <c r="AW151" s="177"/>
      <c r="AX151" s="177"/>
      <c r="AY151" s="177"/>
      <c r="AZ151" s="177"/>
      <c r="BA151" s="30"/>
      <c r="BB151" s="30"/>
      <c r="BC151" s="30"/>
      <c r="BD151" s="30"/>
      <c r="BE151" s="169"/>
      <c r="BF151" s="169"/>
      <c r="BG151" s="169"/>
      <c r="BH151" s="169"/>
      <c r="BI151" s="169"/>
      <c r="BJ151" s="169"/>
      <c r="BK151" s="169"/>
      <c r="BL151" s="169"/>
      <c r="BM151" s="169"/>
      <c r="BN151" s="169"/>
      <c r="BO151" s="169"/>
      <c r="BP151" s="169"/>
      <c r="BQ151" s="169"/>
      <c r="BR151" s="169"/>
      <c r="BS151" s="169"/>
      <c r="BT151" s="169"/>
      <c r="BU151" s="47"/>
      <c r="BV151" s="41"/>
      <c r="BW151" s="41"/>
      <c r="BX151" s="41"/>
      <c r="BY151" s="41"/>
      <c r="BZ151" s="41"/>
      <c r="CA151" s="41"/>
      <c r="CB151" s="41"/>
      <c r="CC151" s="41"/>
      <c r="CD151" s="41"/>
      <c r="CE151" s="41"/>
      <c r="CF151" s="41"/>
      <c r="CG151" s="41"/>
      <c r="CH151" s="41"/>
      <c r="CI151" s="41"/>
      <c r="CJ151" s="41"/>
      <c r="CK151" s="41"/>
      <c r="CL151" s="41"/>
      <c r="CM151" s="41"/>
      <c r="CN151" s="41"/>
      <c r="CO151" s="41"/>
      <c r="CP151" s="41"/>
      <c r="CQ151" s="41"/>
      <c r="CR151" s="41"/>
      <c r="CS151" s="41"/>
      <c r="CT151" s="41"/>
      <c r="CU151" s="41"/>
      <c r="CV151" s="41"/>
      <c r="CW151" s="41"/>
      <c r="CX151" s="41"/>
      <c r="CY151" s="41"/>
      <c r="CZ151" s="41"/>
      <c r="DA151" s="134"/>
      <c r="DB151" s="134"/>
      <c r="DC151" s="134"/>
      <c r="DD151" s="30"/>
      <c r="DE151" s="125"/>
      <c r="DF151" s="29"/>
    </row>
    <row r="152" spans="1:110" ht="5.0999999999999996" customHeight="1" x14ac:dyDescent="0.2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30"/>
      <c r="BB152" s="30"/>
      <c r="BC152" s="30"/>
      <c r="BD152" s="30"/>
      <c r="BE152" s="169"/>
      <c r="BF152" s="169"/>
      <c r="BG152" s="169"/>
      <c r="BH152" s="169"/>
      <c r="BI152" s="169"/>
      <c r="BJ152" s="169"/>
      <c r="BK152" s="169"/>
      <c r="BL152" s="169"/>
      <c r="BM152" s="169"/>
      <c r="BN152" s="169"/>
      <c r="BO152" s="169"/>
      <c r="BP152" s="169"/>
      <c r="BQ152" s="169"/>
      <c r="BR152" s="169"/>
      <c r="BS152" s="169"/>
      <c r="BT152" s="169"/>
      <c r="BU152" s="47"/>
      <c r="BV152" s="41"/>
      <c r="BW152" s="41"/>
      <c r="BX152" s="41"/>
      <c r="BY152" s="41"/>
      <c r="BZ152" s="41"/>
      <c r="CA152" s="41"/>
      <c r="CB152" s="41"/>
      <c r="CC152" s="41"/>
      <c r="CD152" s="41"/>
      <c r="CE152" s="41"/>
      <c r="CF152" s="41"/>
      <c r="CG152" s="41"/>
      <c r="CH152" s="41"/>
      <c r="CI152" s="41"/>
      <c r="CJ152" s="41"/>
      <c r="CK152" s="41"/>
      <c r="CL152" s="41"/>
      <c r="CM152" s="41"/>
      <c r="CN152" s="41"/>
      <c r="CO152" s="41"/>
      <c r="CP152" s="41"/>
      <c r="CQ152" s="41"/>
      <c r="CR152" s="41"/>
      <c r="CS152" s="41"/>
      <c r="CT152" s="41"/>
      <c r="CU152" s="41"/>
      <c r="CV152" s="41"/>
      <c r="CW152" s="41"/>
      <c r="CX152" s="41"/>
      <c r="CY152" s="41"/>
      <c r="CZ152" s="41"/>
      <c r="DA152" s="134"/>
      <c r="DB152" s="134"/>
      <c r="DC152" s="134"/>
      <c r="DD152" s="30"/>
      <c r="DE152" s="125"/>
      <c r="DF152" s="29"/>
    </row>
    <row r="153" spans="1:110" ht="5.0999999999999996" customHeight="1" x14ac:dyDescent="0.2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0"/>
      <c r="BB153" s="30"/>
      <c r="BC153" s="30"/>
      <c r="BD153" s="30"/>
      <c r="BE153" s="169"/>
      <c r="BF153" s="169"/>
      <c r="BG153" s="169"/>
      <c r="BH153" s="169"/>
      <c r="BI153" s="169"/>
      <c r="BJ153" s="169"/>
      <c r="BK153" s="169"/>
      <c r="BL153" s="169"/>
      <c r="BM153" s="169"/>
      <c r="BN153" s="169"/>
      <c r="BO153" s="169"/>
      <c r="BP153" s="169"/>
      <c r="BQ153" s="169"/>
      <c r="BR153" s="169"/>
      <c r="BS153" s="169"/>
      <c r="BT153" s="169"/>
      <c r="BU153" s="30"/>
      <c r="BV153" s="137"/>
      <c r="BW153" s="137"/>
      <c r="BX153" s="137"/>
      <c r="BY153" s="137"/>
      <c r="BZ153" s="137"/>
      <c r="CA153" s="137"/>
      <c r="CB153" s="137"/>
      <c r="CC153" s="137"/>
      <c r="CD153" s="137"/>
      <c r="CE153" s="137"/>
      <c r="CF153" s="137"/>
      <c r="CG153" s="137"/>
      <c r="CH153" s="137"/>
      <c r="CI153" s="137"/>
      <c r="CJ153" s="137"/>
      <c r="CK153" s="137"/>
      <c r="CL153" s="137"/>
      <c r="CM153" s="137"/>
      <c r="CN153" s="137"/>
      <c r="CO153" s="137"/>
      <c r="CP153" s="137"/>
      <c r="CQ153" s="137"/>
      <c r="CR153" s="137"/>
      <c r="CS153" s="137"/>
      <c r="CT153" s="137"/>
      <c r="CU153" s="137"/>
      <c r="CV153" s="137"/>
      <c r="CW153" s="137"/>
      <c r="CX153" s="137"/>
      <c r="CY153" s="137"/>
      <c r="CZ153" s="137"/>
      <c r="DA153" s="134"/>
      <c r="DB153" s="134"/>
      <c r="DC153" s="134"/>
      <c r="DD153" s="30"/>
      <c r="DE153" s="125"/>
      <c r="DF153" s="29"/>
    </row>
    <row r="154" spans="1:110" ht="5.0999999999999996" customHeight="1" x14ac:dyDescent="0.2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121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169" t="str">
        <f>Диплом!B8</f>
        <v xml:space="preserve"> YY июня 2024 года</v>
      </c>
      <c r="BF154" s="169"/>
      <c r="BG154" s="169"/>
      <c r="BH154" s="169"/>
      <c r="BI154" s="169"/>
      <c r="BJ154" s="169"/>
      <c r="BK154" s="169"/>
      <c r="BL154" s="169"/>
      <c r="BM154" s="169"/>
      <c r="BN154" s="169"/>
      <c r="BO154" s="169"/>
      <c r="BP154" s="169"/>
      <c r="BQ154" s="169"/>
      <c r="BR154" s="169"/>
      <c r="BS154" s="169"/>
      <c r="BT154" s="169"/>
      <c r="BU154" s="30"/>
      <c r="BV154" s="30"/>
      <c r="BW154" s="134"/>
      <c r="BX154" s="134"/>
      <c r="BY154" s="134"/>
      <c r="BZ154" s="134"/>
      <c r="CA154" s="134"/>
      <c r="CB154" s="134"/>
      <c r="CC154" s="134"/>
      <c r="CD154" s="134"/>
      <c r="CE154" s="134"/>
      <c r="CF154" s="134"/>
      <c r="CG154" s="134"/>
      <c r="CH154" s="134"/>
      <c r="CI154" s="134"/>
      <c r="CJ154" s="134"/>
      <c r="CK154" s="134"/>
      <c r="CL154" s="134"/>
      <c r="CM154" s="134"/>
      <c r="CN154" s="134"/>
      <c r="CO154" s="134"/>
      <c r="CP154" s="134"/>
      <c r="CQ154" s="134"/>
      <c r="CR154" s="134"/>
      <c r="CS154" s="134"/>
      <c r="CT154" s="134"/>
      <c r="CU154" s="134"/>
      <c r="CV154" s="134"/>
      <c r="CW154" s="134"/>
      <c r="CX154" s="134"/>
      <c r="CY154" s="134"/>
      <c r="CZ154" s="134"/>
      <c r="DA154" s="134"/>
      <c r="DB154" s="134"/>
      <c r="DC154" s="134"/>
      <c r="DD154" s="30"/>
      <c r="DE154" s="125"/>
      <c r="DF154" s="29"/>
    </row>
    <row r="155" spans="1:110" ht="36.75" customHeight="1" x14ac:dyDescent="0.2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121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169"/>
      <c r="BF155" s="169"/>
      <c r="BG155" s="169"/>
      <c r="BH155" s="169"/>
      <c r="BI155" s="169"/>
      <c r="BJ155" s="169"/>
      <c r="BK155" s="169"/>
      <c r="BL155" s="169"/>
      <c r="BM155" s="169"/>
      <c r="BN155" s="169"/>
      <c r="BO155" s="169"/>
      <c r="BP155" s="169"/>
      <c r="BQ155" s="169"/>
      <c r="BR155" s="169"/>
      <c r="BS155" s="169"/>
      <c r="BT155" s="169"/>
      <c r="BU155" s="30"/>
      <c r="BV155" s="30"/>
      <c r="BW155" s="134"/>
      <c r="BX155" s="134"/>
      <c r="BY155" s="134"/>
      <c r="BZ155" s="134"/>
      <c r="CA155" s="134"/>
      <c r="CB155" s="134"/>
      <c r="CC155" s="134"/>
      <c r="CD155" s="134"/>
      <c r="CE155" s="134"/>
      <c r="CF155" s="134"/>
      <c r="CG155" s="134"/>
      <c r="CH155" s="134"/>
      <c r="CI155" s="134"/>
      <c r="CJ155" s="134"/>
      <c r="CK155" s="134"/>
      <c r="CL155" s="134"/>
      <c r="CM155" s="134"/>
      <c r="CN155" s="134"/>
      <c r="CO155" s="134"/>
      <c r="CP155" s="134"/>
      <c r="CQ155" s="134"/>
      <c r="CR155" s="134"/>
      <c r="CS155" s="134"/>
      <c r="CT155" s="134"/>
      <c r="CU155" s="134"/>
      <c r="CV155" s="134"/>
      <c r="CW155" s="134"/>
      <c r="CX155" s="134"/>
      <c r="CY155" s="134"/>
      <c r="CZ155" s="134"/>
      <c r="DA155" s="134"/>
      <c r="DB155" s="134"/>
      <c r="DC155" s="134"/>
      <c r="DD155" s="30"/>
      <c r="DE155" s="125"/>
      <c r="DF155" s="29"/>
    </row>
    <row r="156" spans="1:110" ht="30.75" customHeight="1" x14ac:dyDescent="0.2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121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169"/>
      <c r="BF156" s="169"/>
      <c r="BG156" s="169"/>
      <c r="BH156" s="169"/>
      <c r="BI156" s="169"/>
      <c r="BJ156" s="169"/>
      <c r="BK156" s="169"/>
      <c r="BL156" s="169"/>
      <c r="BM156" s="169"/>
      <c r="BN156" s="169"/>
      <c r="BO156" s="169"/>
      <c r="BP156" s="169"/>
      <c r="BQ156" s="169"/>
      <c r="BR156" s="169"/>
      <c r="BS156" s="169"/>
      <c r="BT156" s="169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125"/>
      <c r="DF156" s="29"/>
    </row>
    <row r="157" spans="1:110" ht="5.0999999999999996" customHeight="1" x14ac:dyDescent="0.2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121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169"/>
      <c r="BF157" s="169"/>
      <c r="BG157" s="169"/>
      <c r="BH157" s="169"/>
      <c r="BI157" s="169"/>
      <c r="BJ157" s="169"/>
      <c r="BK157" s="169"/>
      <c r="BL157" s="169"/>
      <c r="BM157" s="169"/>
      <c r="BN157" s="169"/>
      <c r="BO157" s="169"/>
      <c r="BP157" s="169"/>
      <c r="BQ157" s="169"/>
      <c r="BR157" s="169"/>
      <c r="BS157" s="169"/>
      <c r="BT157" s="169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125"/>
      <c r="DF157" s="29"/>
    </row>
    <row r="158" spans="1:110" ht="5.0999999999999996" customHeight="1" x14ac:dyDescent="0.2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121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125"/>
      <c r="DF158" s="29"/>
    </row>
    <row r="159" spans="1:110" ht="5.0999999999999996" customHeight="1" x14ac:dyDescent="0.2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121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123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125"/>
      <c r="DF159" s="29"/>
    </row>
    <row r="160" spans="1:110" ht="5.0999999999999996" customHeight="1" x14ac:dyDescent="0.2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121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123"/>
      <c r="BT160" s="30"/>
      <c r="BU160" s="125"/>
      <c r="BV160" s="125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125"/>
      <c r="DE160" s="125"/>
      <c r="DF160" s="29"/>
    </row>
    <row r="161" spans="1:110" ht="5.0999999999999996" customHeight="1" x14ac:dyDescent="0.2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121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105"/>
      <c r="BF161" s="105"/>
      <c r="BG161" s="105"/>
      <c r="BH161" s="105"/>
      <c r="BI161" s="105"/>
      <c r="BJ161" s="105"/>
      <c r="BK161" s="105"/>
      <c r="BL161" s="105"/>
      <c r="BM161" s="105"/>
      <c r="BN161" s="105"/>
      <c r="BO161" s="105"/>
      <c r="BP161" s="105"/>
      <c r="BQ161" s="105"/>
      <c r="BR161" s="105"/>
      <c r="BS161" s="105"/>
      <c r="BT161" s="105"/>
      <c r="BU161" s="29"/>
      <c r="BV161" s="29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29"/>
      <c r="DE161" s="125"/>
      <c r="DF161" s="29"/>
    </row>
    <row r="162" spans="1:110" ht="5.0999999999999996" customHeight="1" x14ac:dyDescent="0.25">
      <c r="A162" s="125"/>
      <c r="B162" s="128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  <c r="AB162" s="125"/>
      <c r="AC162" s="125"/>
      <c r="AD162" s="125"/>
      <c r="AE162" s="125"/>
      <c r="AF162" s="125"/>
      <c r="AG162" s="125"/>
      <c r="AH162" s="125"/>
      <c r="AI162" s="125"/>
      <c r="AJ162" s="125"/>
      <c r="AK162" s="125"/>
      <c r="AL162" s="125"/>
      <c r="AM162" s="125"/>
      <c r="AN162" s="125"/>
      <c r="AO162" s="125"/>
      <c r="AP162" s="125"/>
      <c r="AQ162" s="125"/>
      <c r="AR162" s="125"/>
      <c r="AS162" s="125"/>
      <c r="AT162" s="125"/>
      <c r="AU162" s="125"/>
      <c r="AV162" s="125"/>
      <c r="AW162" s="125"/>
      <c r="AX162" s="125"/>
      <c r="AY162" s="125"/>
      <c r="AZ162" s="125"/>
      <c r="BA162" s="125"/>
      <c r="BB162" s="125"/>
      <c r="BC162" s="128"/>
      <c r="BD162" s="125"/>
      <c r="BE162" s="105"/>
      <c r="BF162" s="105"/>
      <c r="BG162" s="105"/>
      <c r="BH162" s="105"/>
      <c r="BI162" s="105"/>
      <c r="BJ162" s="105"/>
      <c r="BK162" s="105"/>
      <c r="BL162" s="105"/>
      <c r="BM162" s="105"/>
      <c r="BN162" s="105"/>
      <c r="BO162" s="105"/>
      <c r="BP162" s="105"/>
      <c r="BQ162" s="105"/>
      <c r="BR162" s="105"/>
      <c r="BS162" s="105"/>
      <c r="BT162" s="105"/>
      <c r="BU162" s="29"/>
      <c r="BV162" s="29"/>
      <c r="BW162" s="125"/>
      <c r="BX162" s="125"/>
      <c r="BY162" s="125"/>
      <c r="BZ162" s="125"/>
      <c r="CA162" s="125"/>
      <c r="CB162" s="125"/>
      <c r="CC162" s="125"/>
      <c r="CD162" s="125"/>
      <c r="CE162" s="125"/>
      <c r="CF162" s="125"/>
      <c r="CG162" s="125"/>
      <c r="CH162" s="125"/>
      <c r="CI162" s="125"/>
      <c r="CJ162" s="125"/>
      <c r="CK162" s="125"/>
      <c r="CL162" s="125"/>
      <c r="CM162" s="125"/>
      <c r="CN162" s="125"/>
      <c r="CO162" s="125"/>
      <c r="CP162" s="125"/>
      <c r="CQ162" s="125"/>
      <c r="CR162" s="125"/>
      <c r="CS162" s="125"/>
      <c r="CT162" s="125"/>
      <c r="CU162" s="125"/>
      <c r="CV162" s="125"/>
      <c r="CW162" s="125"/>
      <c r="CX162" s="125"/>
      <c r="CY162" s="125"/>
      <c r="CZ162" s="125"/>
      <c r="DA162" s="125"/>
      <c r="DB162" s="125"/>
      <c r="DC162" s="125"/>
      <c r="DD162" s="29"/>
      <c r="DE162" s="28"/>
      <c r="DF162" s="29"/>
    </row>
    <row r="163" spans="1:110" ht="5.0999999999999996" customHeight="1" x14ac:dyDescent="0.2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105"/>
      <c r="BF163" s="105"/>
      <c r="BG163" s="105"/>
      <c r="BH163" s="105"/>
      <c r="BI163" s="105"/>
      <c r="BJ163" s="105"/>
      <c r="BK163" s="105"/>
      <c r="BL163" s="105"/>
      <c r="BM163" s="105"/>
      <c r="BN163" s="105"/>
      <c r="BO163" s="105"/>
      <c r="BP163" s="105"/>
      <c r="BQ163" s="105"/>
      <c r="BR163" s="105"/>
      <c r="BS163" s="105"/>
      <c r="BT163" s="105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  <c r="CI163" s="29"/>
      <c r="CJ163" s="29"/>
      <c r="CK163" s="29"/>
      <c r="CL163" s="29"/>
      <c r="CM163" s="29"/>
      <c r="CN163" s="29"/>
      <c r="CO163" s="29"/>
      <c r="CP163" s="29"/>
      <c r="CQ163" s="29"/>
      <c r="CR163" s="29"/>
      <c r="CS163" s="29"/>
      <c r="CT163" s="29"/>
      <c r="CU163" s="29"/>
      <c r="CV163" s="29"/>
      <c r="CW163" s="29"/>
      <c r="CX163" s="29"/>
      <c r="CY163" s="29"/>
      <c r="CZ163" s="29"/>
      <c r="DA163" s="29"/>
      <c r="DB163" s="29"/>
      <c r="DC163" s="29"/>
      <c r="DD163" s="29"/>
      <c r="DE163" s="29"/>
      <c r="DF163" s="29"/>
    </row>
    <row r="164" spans="1:110" ht="5.0999999999999996" customHeight="1" x14ac:dyDescent="0.2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9"/>
      <c r="CI164" s="29"/>
      <c r="CJ164" s="29"/>
      <c r="CK164" s="29"/>
      <c r="CL164" s="29"/>
      <c r="CM164" s="29"/>
      <c r="CN164" s="29"/>
      <c r="CO164" s="29"/>
      <c r="CP164" s="29"/>
      <c r="CQ164" s="29"/>
      <c r="CR164" s="29"/>
      <c r="CS164" s="29"/>
      <c r="CT164" s="29"/>
      <c r="CU164" s="29"/>
      <c r="CV164" s="29"/>
      <c r="CW164" s="29"/>
      <c r="CX164" s="29"/>
      <c r="CY164" s="29"/>
      <c r="CZ164" s="29"/>
      <c r="DA164" s="29"/>
      <c r="DB164" s="29"/>
      <c r="DC164" s="29"/>
      <c r="DD164" s="29"/>
      <c r="DE164" s="29"/>
      <c r="DF164" s="29"/>
    </row>
    <row r="165" spans="1:110" ht="5.0999999999999996" customHeight="1" x14ac:dyDescent="0.2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29"/>
      <c r="CI165" s="29"/>
      <c r="CJ165" s="29"/>
      <c r="CK165" s="29"/>
      <c r="CL165" s="29"/>
      <c r="CM165" s="29"/>
      <c r="CN165" s="29"/>
      <c r="CO165" s="29"/>
      <c r="CP165" s="29"/>
      <c r="CQ165" s="29"/>
      <c r="CR165" s="29"/>
      <c r="CS165" s="29"/>
      <c r="CT165" s="29"/>
      <c r="CU165" s="29"/>
      <c r="CV165" s="29"/>
      <c r="CW165" s="29"/>
      <c r="CX165" s="29"/>
      <c r="CY165" s="29"/>
      <c r="CZ165" s="29"/>
      <c r="DA165" s="29"/>
      <c r="DB165" s="29"/>
      <c r="DC165" s="29"/>
      <c r="DD165" s="29"/>
      <c r="DE165" s="29"/>
      <c r="DF165" s="29"/>
    </row>
    <row r="166" spans="1:110" ht="5.0999999999999996" customHeight="1" x14ac:dyDescent="0.2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W166" s="29"/>
      <c r="BX166" s="29"/>
      <c r="BY166" s="29"/>
      <c r="BZ166" s="29"/>
      <c r="CA166" s="29"/>
      <c r="CB166" s="29"/>
      <c r="CC166" s="29"/>
      <c r="CD166" s="29"/>
      <c r="CE166" s="29"/>
      <c r="CF166" s="29"/>
      <c r="CG166" s="29"/>
      <c r="CH166" s="29"/>
      <c r="CI166" s="29"/>
      <c r="CJ166" s="29"/>
      <c r="CK166" s="29"/>
      <c r="CL166" s="29"/>
      <c r="CM166" s="29"/>
      <c r="CN166" s="29"/>
      <c r="CO166" s="29"/>
      <c r="CP166" s="29"/>
      <c r="CQ166" s="29"/>
      <c r="CR166" s="29"/>
      <c r="CS166" s="29"/>
      <c r="CT166" s="29"/>
      <c r="CU166" s="29"/>
      <c r="CV166" s="29"/>
      <c r="CW166" s="29"/>
      <c r="CX166" s="29"/>
      <c r="CY166" s="29"/>
      <c r="CZ166" s="29"/>
      <c r="DA166" s="29"/>
      <c r="DB166" s="29"/>
      <c r="DC166" s="29"/>
      <c r="DE166" s="29"/>
      <c r="DF166" s="29"/>
    </row>
    <row r="167" spans="1:110" ht="5.0999999999999996" customHeigh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E167" s="29"/>
      <c r="DF167" s="29"/>
    </row>
  </sheetData>
  <sheetProtection password="DBF4" sheet="1" objects="1" scenarios="1"/>
  <mergeCells count="47">
    <mergeCell ref="CF23:CZ27"/>
    <mergeCell ref="CF35:CZ40"/>
    <mergeCell ref="C70:AZ72"/>
    <mergeCell ref="C16:AZ18"/>
    <mergeCell ref="BE87:BT95"/>
    <mergeCell ref="CF49:CZ52"/>
    <mergeCell ref="B19:AZ21"/>
    <mergeCell ref="B22:AZ24"/>
    <mergeCell ref="B25:AZ27"/>
    <mergeCell ref="B28:AZ30"/>
    <mergeCell ref="B31:AZ33"/>
    <mergeCell ref="B34:AZ36"/>
    <mergeCell ref="B37:AZ39"/>
    <mergeCell ref="B40:AZ42"/>
    <mergeCell ref="B43:AZ45"/>
    <mergeCell ref="C46:AZ48"/>
    <mergeCell ref="C55:AZ57"/>
    <mergeCell ref="C58:AZ60"/>
    <mergeCell ref="BE150:BT153"/>
    <mergeCell ref="AD132:AZ138"/>
    <mergeCell ref="AD125:AZ131"/>
    <mergeCell ref="AD145:AZ151"/>
    <mergeCell ref="C61:AZ63"/>
    <mergeCell ref="C64:AZ66"/>
    <mergeCell ref="C88:AZ90"/>
    <mergeCell ref="C73:AZ75"/>
    <mergeCell ref="C76:AZ78"/>
    <mergeCell ref="C79:AZ81"/>
    <mergeCell ref="C82:AZ84"/>
    <mergeCell ref="C85:AZ87"/>
    <mergeCell ref="C67:AZ69"/>
    <mergeCell ref="C49:AZ51"/>
    <mergeCell ref="BE154:BT157"/>
    <mergeCell ref="CF62:CZ65"/>
    <mergeCell ref="BV79:DA88"/>
    <mergeCell ref="BW108:DA111"/>
    <mergeCell ref="BW112:DA115"/>
    <mergeCell ref="BW116:DA119"/>
    <mergeCell ref="BE45:BT69"/>
    <mergeCell ref="BE70:BT74"/>
    <mergeCell ref="BE120:BT125"/>
    <mergeCell ref="BE126:BT130"/>
    <mergeCell ref="BW120:DA123"/>
    <mergeCell ref="BV146:DA150"/>
    <mergeCell ref="BE142:BT146"/>
    <mergeCell ref="BE105:BT110"/>
    <mergeCell ref="C52:AZ54"/>
  </mergeCells>
  <pageMargins left="0" right="0" top="0" bottom="0" header="0" footer="0"/>
  <pageSetup paperSize="8" fitToWidth="0" fitToHeight="0" orientation="landscape" r:id="rId1"/>
  <headerFooter scaleWithDoc="0"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tabColor rgb="FFFF0000"/>
  </sheetPr>
  <dimension ref="A1:BA84"/>
  <sheetViews>
    <sheetView tabSelected="1" view="pageBreakPreview" topLeftCell="A6" zoomScale="175" zoomScaleNormal="90" zoomScaleSheetLayoutView="175" workbookViewId="0">
      <selection activeCell="V11" sqref="V11"/>
    </sheetView>
  </sheetViews>
  <sheetFormatPr defaultRowHeight="15" x14ac:dyDescent="0.25"/>
  <cols>
    <col min="1" max="1" width="2.85546875" customWidth="1"/>
    <col min="2" max="15" width="3.7109375" customWidth="1"/>
    <col min="16" max="16" width="4" customWidth="1"/>
    <col min="17" max="17" width="4.28515625" style="1" customWidth="1"/>
    <col min="18" max="18" width="4.42578125" style="1" customWidth="1"/>
    <col min="19" max="19" width="3.7109375" style="1" customWidth="1"/>
    <col min="20" max="20" width="5.7109375" customWidth="1"/>
    <col min="21" max="21" width="1.85546875" customWidth="1"/>
    <col min="22" max="22" width="3.7109375" customWidth="1"/>
    <col min="23" max="23" width="4.42578125" customWidth="1"/>
    <col min="24" max="24" width="3.7109375" customWidth="1"/>
    <col min="25" max="25" width="3.28515625" customWidth="1"/>
    <col min="26" max="26" width="3.7109375" customWidth="1"/>
    <col min="27" max="27" width="3.140625" customWidth="1"/>
    <col min="28" max="29" width="3.7109375" customWidth="1"/>
    <col min="30" max="30" width="1.7109375" customWidth="1"/>
    <col min="31" max="42" width="3.7109375" customWidth="1"/>
    <col min="43" max="43" width="10.42578125" customWidth="1"/>
    <col min="44" max="44" width="4" customWidth="1"/>
    <col min="45" max="45" width="4.85546875" customWidth="1"/>
    <col min="46" max="46" width="5.5703125" customWidth="1"/>
    <col min="47" max="47" width="7" customWidth="1"/>
    <col min="48" max="48" width="1.5703125" customWidth="1"/>
    <col min="49" max="49" width="3.7109375" customWidth="1"/>
    <col min="50" max="50" width="4" customWidth="1"/>
    <col min="51" max="51" width="3.7109375" customWidth="1"/>
    <col min="52" max="52" width="4.5703125" customWidth="1"/>
    <col min="53" max="53" width="4" customWidth="1"/>
  </cols>
  <sheetData>
    <row r="1" spans="1:53" x14ac:dyDescent="0.25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28"/>
    </row>
    <row r="2" spans="1:53" ht="9.9499999999999993" customHeight="1" x14ac:dyDescent="0.25">
      <c r="A2" s="91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90"/>
      <c r="R2" s="91"/>
      <c r="S2" s="90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27"/>
    </row>
    <row r="3" spans="1:53" ht="9.9499999999999993" customHeight="1" x14ac:dyDescent="0.25">
      <c r="A3" s="91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90"/>
      <c r="R3" s="91"/>
      <c r="S3" s="90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27"/>
    </row>
    <row r="4" spans="1:53" ht="9.9499999999999993" customHeight="1" x14ac:dyDescent="0.25">
      <c r="A4" s="91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90"/>
      <c r="R4" s="91"/>
      <c r="S4" s="90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27"/>
    </row>
    <row r="5" spans="1:53" ht="9.9499999999999993" customHeight="1" x14ac:dyDescent="0.25">
      <c r="A5" s="91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90"/>
      <c r="R5" s="91"/>
      <c r="S5" s="90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27"/>
    </row>
    <row r="6" spans="1:53" ht="9.9499999999999993" customHeight="1" x14ac:dyDescent="0.25">
      <c r="A6" s="91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90"/>
      <c r="R6" s="91"/>
      <c r="S6" s="90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27"/>
    </row>
    <row r="7" spans="1:53" ht="9.9499999999999993" customHeight="1" x14ac:dyDescent="0.25">
      <c r="A7" s="91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90"/>
      <c r="R7" s="91"/>
      <c r="S7" s="90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27"/>
    </row>
    <row r="8" spans="1:53" ht="9.9499999999999993" customHeight="1" x14ac:dyDescent="0.25">
      <c r="A8" s="91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90"/>
      <c r="R8" s="91"/>
      <c r="S8" s="90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104"/>
    </row>
    <row r="9" spans="1:53" ht="9.9499999999999993" customHeight="1" x14ac:dyDescent="0.25">
      <c r="A9" s="91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90"/>
      <c r="R9" s="91"/>
      <c r="S9" s="90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27"/>
    </row>
    <row r="10" spans="1:53" ht="9.9499999999999993" customHeight="1" x14ac:dyDescent="0.25">
      <c r="A10" s="91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90"/>
      <c r="R10" s="91"/>
      <c r="S10" s="90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27"/>
    </row>
    <row r="11" spans="1:53" ht="9.9499999999999993" customHeight="1" x14ac:dyDescent="0.25">
      <c r="A11" s="91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90"/>
      <c r="R11" s="91"/>
      <c r="S11" s="90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27"/>
    </row>
    <row r="12" spans="1:53" ht="9.9499999999999993" customHeight="1" x14ac:dyDescent="0.25">
      <c r="A12" s="91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1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27"/>
    </row>
    <row r="13" spans="1:53" ht="9.9499999999999993" customHeight="1" x14ac:dyDescent="0.25">
      <c r="A13" s="91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1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181"/>
      <c r="AF13" s="181"/>
      <c r="AG13" s="181"/>
      <c r="AH13" s="181"/>
      <c r="AI13" s="181"/>
      <c r="AJ13" s="181"/>
      <c r="AK13" s="181"/>
      <c r="AL13" s="181"/>
      <c r="AM13" s="181"/>
      <c r="AN13" s="181"/>
      <c r="AO13" s="181"/>
      <c r="AP13" s="181"/>
      <c r="AQ13" s="181"/>
      <c r="AR13" s="183"/>
      <c r="AS13" s="183"/>
      <c r="AT13" s="183"/>
      <c r="AU13" s="183"/>
      <c r="AV13" s="183"/>
      <c r="AW13" s="183"/>
      <c r="AX13" s="183"/>
      <c r="AY13" s="183"/>
      <c r="AZ13" s="183"/>
      <c r="BA13" s="27"/>
    </row>
    <row r="14" spans="1:53" ht="9.9499999999999993" customHeight="1" x14ac:dyDescent="0.25">
      <c r="A14" s="91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0"/>
      <c r="N14" s="90"/>
      <c r="O14" s="90"/>
      <c r="P14" s="90"/>
      <c r="Q14" s="92"/>
      <c r="R14" s="92"/>
      <c r="S14" s="92"/>
      <c r="T14" s="90"/>
      <c r="U14" s="90"/>
      <c r="V14" s="92"/>
      <c r="W14" s="92"/>
      <c r="X14" s="92"/>
      <c r="Y14" s="92"/>
      <c r="Z14" s="90"/>
      <c r="AA14" s="90"/>
      <c r="AB14" s="90"/>
      <c r="AC14" s="90"/>
      <c r="AD14" s="149"/>
      <c r="AE14" s="181" t="str">
        <f>IF(LEN(TRIM('3 Освоение программы'!B68))=0," ",'3 Освоение программы'!B68)</f>
        <v>Дисциплина 67</v>
      </c>
      <c r="AF14" s="181"/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  <c r="AQ14" s="181"/>
      <c r="AR14" s="183" t="str">
        <f>IF(LEN(TRIM('3 Освоение программы'!C68))=0," ",'3 Освоение программы'!C68)</f>
        <v>?? з.е.</v>
      </c>
      <c r="AS14" s="183"/>
      <c r="AT14" s="183"/>
      <c r="AU14" s="183"/>
      <c r="AV14" s="183" t="str">
        <f>IF(LEN(TRIM('3 Освоение программы'!D68))=0," ",'3 Освоение программы'!D68)</f>
        <v>оценка</v>
      </c>
      <c r="AW14" s="183"/>
      <c r="AX14" s="183"/>
      <c r="AY14" s="183"/>
      <c r="AZ14" s="183"/>
      <c r="BA14" s="27"/>
    </row>
    <row r="15" spans="1:53" ht="9.9499999999999993" customHeight="1" x14ac:dyDescent="0.25">
      <c r="A15" s="91"/>
      <c r="B15" s="179"/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80"/>
      <c r="R15" s="180"/>
      <c r="S15" s="180"/>
      <c r="T15" s="180"/>
      <c r="U15" s="138"/>
      <c r="V15" s="180"/>
      <c r="W15" s="180"/>
      <c r="X15" s="180"/>
      <c r="Y15" s="180"/>
      <c r="Z15" s="180"/>
      <c r="AA15" s="90"/>
      <c r="AB15" s="90"/>
      <c r="AC15" s="90"/>
      <c r="AD15" s="149"/>
      <c r="AE15" s="181" t="str">
        <f>IF(LEN(TRIM('3 Освоение программы'!B69))=0," ",'3 Освоение программы'!B69)</f>
        <v>Дисциплина 68</v>
      </c>
      <c r="AF15" s="181"/>
      <c r="AG15" s="181"/>
      <c r="AH15" s="181"/>
      <c r="AI15" s="181"/>
      <c r="AJ15" s="181"/>
      <c r="AK15" s="181"/>
      <c r="AL15" s="181"/>
      <c r="AM15" s="181"/>
      <c r="AN15" s="181"/>
      <c r="AO15" s="181"/>
      <c r="AP15" s="181"/>
      <c r="AQ15" s="181"/>
      <c r="AR15" s="183" t="str">
        <f>IF(LEN(TRIM('3 Освоение программы'!C69))=0," ",'3 Освоение программы'!C69)</f>
        <v>?? з.е.</v>
      </c>
      <c r="AS15" s="183"/>
      <c r="AT15" s="183"/>
      <c r="AU15" s="183"/>
      <c r="AV15" s="183" t="str">
        <f>IF(LEN(TRIM('3 Освоение программы'!D69))=0," ",'3 Освоение программы'!D69)</f>
        <v>оценка</v>
      </c>
      <c r="AW15" s="183"/>
      <c r="AX15" s="183"/>
      <c r="AY15" s="183"/>
      <c r="AZ15" s="183"/>
      <c r="BA15" s="27"/>
    </row>
    <row r="16" spans="1:53" ht="9.9499999999999993" customHeight="1" x14ac:dyDescent="0.25">
      <c r="A16" s="138"/>
      <c r="B16" s="179" t="str">
        <f>IF(LEN(TRIM('3 Освоение программы'!B2))=0," ",'3 Освоение программы'!B2)</f>
        <v>Дисциплина 1</v>
      </c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80" t="str">
        <f>IF(LEN(TRIM('3 Освоение программы'!C2))=0," ",'3 Освоение программы'!C2)</f>
        <v>?? з.е.</v>
      </c>
      <c r="R16" s="180"/>
      <c r="S16" s="180"/>
      <c r="T16" s="180"/>
      <c r="U16" s="180"/>
      <c r="V16" s="180" t="str">
        <f>IF(LEN(TRIM('3 Освоение программы'!D2))=0," ",'3 Освоение программы'!D2)</f>
        <v>оценка</v>
      </c>
      <c r="W16" s="180"/>
      <c r="X16" s="180"/>
      <c r="Y16" s="180"/>
      <c r="Z16" s="180"/>
      <c r="AA16" s="180"/>
      <c r="AB16" s="90"/>
      <c r="AC16" s="90"/>
      <c r="AD16" s="149"/>
      <c r="AE16" s="181" t="str">
        <f>IF(LEN(TRIM('3 Освоение программы'!B70))=0," ",'3 Освоение программы'!B70)</f>
        <v>Дисциплина 69</v>
      </c>
      <c r="AF16" s="181"/>
      <c r="AG16" s="181"/>
      <c r="AH16" s="181"/>
      <c r="AI16" s="181"/>
      <c r="AJ16" s="181"/>
      <c r="AK16" s="181"/>
      <c r="AL16" s="181"/>
      <c r="AM16" s="181"/>
      <c r="AN16" s="181"/>
      <c r="AO16" s="181"/>
      <c r="AP16" s="181"/>
      <c r="AQ16" s="181"/>
      <c r="AR16" s="183" t="str">
        <f>IF(LEN(TRIM('3 Освоение программы'!C70))=0," ",'3 Освоение программы'!C70)</f>
        <v>?? з.е.</v>
      </c>
      <c r="AS16" s="183"/>
      <c r="AT16" s="183"/>
      <c r="AU16" s="183"/>
      <c r="AV16" s="183" t="str">
        <f>IF(LEN(TRIM('3 Освоение программы'!D70))=0," ",'3 Освоение программы'!D70)</f>
        <v>оценка</v>
      </c>
      <c r="AW16" s="183"/>
      <c r="AX16" s="183"/>
      <c r="AY16" s="183"/>
      <c r="AZ16" s="183"/>
      <c r="BA16" s="27"/>
    </row>
    <row r="17" spans="1:53" ht="9.9499999999999993" customHeight="1" x14ac:dyDescent="0.25">
      <c r="A17" s="138"/>
      <c r="B17" s="179" t="str">
        <f>IF(LEN(TRIM('3 Освоение программы'!B3))=0," ",'3 Освоение программы'!B3)</f>
        <v>Дисциплина 2</v>
      </c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80" t="str">
        <f>IF(LEN(TRIM('3 Освоение программы'!C3))=0," ",'3 Освоение программы'!C3)</f>
        <v>?? з.е.</v>
      </c>
      <c r="R17" s="180"/>
      <c r="S17" s="180"/>
      <c r="T17" s="180"/>
      <c r="U17" s="180"/>
      <c r="V17" s="180" t="str">
        <f>IF(LEN(TRIM('3 Освоение программы'!D3))=0," ",'3 Освоение программы'!D3)</f>
        <v>оценка</v>
      </c>
      <c r="W17" s="180"/>
      <c r="X17" s="180"/>
      <c r="Y17" s="180"/>
      <c r="Z17" s="180"/>
      <c r="AA17" s="180"/>
      <c r="AB17" s="90"/>
      <c r="AC17" s="90"/>
      <c r="AD17" s="90"/>
      <c r="AE17" s="181" t="str">
        <f>IF(LEN(TRIM('3 Освоение программы'!B71))=0," ",'3 Освоение программы'!B71)</f>
        <v>Дисциплина 70</v>
      </c>
      <c r="AF17" s="181"/>
      <c r="AG17" s="181"/>
      <c r="AH17" s="181"/>
      <c r="AI17" s="181"/>
      <c r="AJ17" s="181"/>
      <c r="AK17" s="181"/>
      <c r="AL17" s="181"/>
      <c r="AM17" s="181"/>
      <c r="AN17" s="181"/>
      <c r="AO17" s="181"/>
      <c r="AP17" s="181"/>
      <c r="AQ17" s="181"/>
      <c r="AR17" s="183" t="str">
        <f>IF(LEN(TRIM('3 Освоение программы'!C71))=0," ",'3 Освоение программы'!C71)</f>
        <v>?? з.е.</v>
      </c>
      <c r="AS17" s="183"/>
      <c r="AT17" s="183"/>
      <c r="AU17" s="183"/>
      <c r="AV17" s="183" t="str">
        <f>IF(LEN(TRIM('3 Освоение программы'!D71))=0," ",'3 Освоение программы'!D71)</f>
        <v>оценка</v>
      </c>
      <c r="AW17" s="183"/>
      <c r="AX17" s="183"/>
      <c r="AY17" s="183"/>
      <c r="AZ17" s="183"/>
      <c r="BA17" s="27"/>
    </row>
    <row r="18" spans="1:53" ht="9.9499999999999993" customHeight="1" x14ac:dyDescent="0.25">
      <c r="A18" s="138"/>
      <c r="B18" s="179" t="str">
        <f>IF(LEN(TRIM('3 Освоение программы'!B4))=0," ",'3 Освоение программы'!B4)</f>
        <v>Дисциплина 3</v>
      </c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80" t="str">
        <f>IF(LEN(TRIM('3 Освоение программы'!C4))=0," ",'3 Освоение программы'!C4)</f>
        <v>?? з.е.</v>
      </c>
      <c r="R18" s="180"/>
      <c r="S18" s="180"/>
      <c r="T18" s="180"/>
      <c r="U18" s="180"/>
      <c r="V18" s="180" t="str">
        <f>IF(LEN(TRIM('3 Освоение программы'!D4))=0," ",'3 Освоение программы'!D4)</f>
        <v>оценка</v>
      </c>
      <c r="W18" s="180"/>
      <c r="X18" s="180"/>
      <c r="Y18" s="180"/>
      <c r="Z18" s="180"/>
      <c r="AA18" s="180"/>
      <c r="AB18" s="90"/>
      <c r="AC18" s="90"/>
      <c r="AD18" s="90"/>
      <c r="AE18" s="181" t="str">
        <f>IF(LEN(TRIM('3 Освоение программы'!B72))=0," ",'3 Освоение программы'!B72)</f>
        <v>Практики</v>
      </c>
      <c r="AF18" s="181"/>
      <c r="AG18" s="181"/>
      <c r="AH18" s="181"/>
      <c r="AI18" s="181"/>
      <c r="AJ18" s="181"/>
      <c r="AK18" s="181"/>
      <c r="AL18" s="181"/>
      <c r="AM18" s="181"/>
      <c r="AN18" s="181"/>
      <c r="AO18" s="181"/>
      <c r="AP18" s="181"/>
      <c r="AQ18" s="181"/>
      <c r="AR18" s="183" t="str">
        <f>IF(LEN(TRIM('3 Освоение программы'!C72))=0," ",'3 Освоение программы'!C72)</f>
        <v>?? з.е.</v>
      </c>
      <c r="AS18" s="183"/>
      <c r="AT18" s="183"/>
      <c r="AU18" s="183"/>
      <c r="AV18" s="183" t="str">
        <f>IF(LEN(TRIM('3 Освоение программы'!D72))=0," ",'3 Освоение программы'!D72)</f>
        <v>x</v>
      </c>
      <c r="AW18" s="183"/>
      <c r="AX18" s="183"/>
      <c r="AY18" s="183"/>
      <c r="AZ18" s="183"/>
      <c r="BA18" s="27"/>
    </row>
    <row r="19" spans="1:53" ht="9.9499999999999993" customHeight="1" x14ac:dyDescent="0.25">
      <c r="A19" s="182" t="str">
        <f>IF(LEN(TRIM('3 Освоение программы'!B5))=0," ",'3 Освоение программы'!B5)</f>
        <v>Дисциплина 4</v>
      </c>
      <c r="B19" s="182"/>
      <c r="C19" s="182"/>
      <c r="D19" s="182"/>
      <c r="E19" s="182"/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0" t="str">
        <f>IF(LEN(TRIM('3 Освоение программы'!C5))=0," ",'3 Освоение программы'!C5)</f>
        <v>?? з.е.</v>
      </c>
      <c r="R19" s="180"/>
      <c r="S19" s="180"/>
      <c r="T19" s="180"/>
      <c r="U19" s="180"/>
      <c r="V19" s="180" t="str">
        <f>IF(LEN(TRIM('3 Освоение программы'!D5))=0," ",'3 Освоение программы'!D5)</f>
        <v>оценка</v>
      </c>
      <c r="W19" s="180"/>
      <c r="X19" s="180"/>
      <c r="Y19" s="180"/>
      <c r="Z19" s="180"/>
      <c r="AA19" s="180"/>
      <c r="AB19" s="90"/>
      <c r="AC19" s="90"/>
      <c r="AD19" s="90"/>
      <c r="AE19" s="181" t="str">
        <f>IF(LEN(TRIM('3 Освоение программы'!B73))=0," ",'3 Освоение программы'!B73)</f>
        <v>в том числе:</v>
      </c>
      <c r="AF19" s="181"/>
      <c r="AG19" s="181"/>
      <c r="AH19" s="181"/>
      <c r="AI19" s="181"/>
      <c r="AJ19" s="181"/>
      <c r="AK19" s="181"/>
      <c r="AL19" s="181"/>
      <c r="AM19" s="181"/>
      <c r="AN19" s="181"/>
      <c r="AO19" s="181"/>
      <c r="AP19" s="181"/>
      <c r="AQ19" s="181"/>
      <c r="AR19" s="183" t="str">
        <f>IF(LEN(TRIM('3 Освоение программы'!C73))=0," ",'3 Освоение программы'!C73)</f>
        <v xml:space="preserve"> </v>
      </c>
      <c r="AS19" s="183"/>
      <c r="AT19" s="183"/>
      <c r="AU19" s="183"/>
      <c r="AV19" s="183" t="str">
        <f>IF(LEN(TRIM('3 Освоение программы'!D73))=0," ",'3 Освоение программы'!D73)</f>
        <v xml:space="preserve"> </v>
      </c>
      <c r="AW19" s="183"/>
      <c r="AX19" s="183"/>
      <c r="AY19" s="183"/>
      <c r="AZ19" s="183"/>
      <c r="BA19" s="27"/>
    </row>
    <row r="20" spans="1:53" ht="9.9499999999999993" customHeight="1" x14ac:dyDescent="0.25">
      <c r="A20" s="91"/>
      <c r="B20" s="179" t="str">
        <f>IF(LEN(TRIM('3 Освоение программы'!B6))=0," ",'3 Освоение программы'!B6)</f>
        <v>Дисциплина 5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  <c r="N20" s="179"/>
      <c r="O20" s="179"/>
      <c r="P20" s="179"/>
      <c r="Q20" s="180" t="str">
        <f>IF(LEN(TRIM('3 Освоение программы'!C6))=0," ",'3 Освоение программы'!C6)</f>
        <v>?? з.е.</v>
      </c>
      <c r="R20" s="180"/>
      <c r="S20" s="180"/>
      <c r="T20" s="180"/>
      <c r="U20" s="180"/>
      <c r="V20" s="180" t="str">
        <f>IF(LEN(TRIM('3 Освоение программы'!D6))=0," ",'3 Освоение программы'!D6)</f>
        <v>оценка</v>
      </c>
      <c r="W20" s="180"/>
      <c r="X20" s="180"/>
      <c r="Y20" s="180"/>
      <c r="Z20" s="180"/>
      <c r="AA20" s="180"/>
      <c r="AB20" s="90"/>
      <c r="AC20" s="90"/>
      <c r="AD20" s="90"/>
      <c r="AE20" s="181" t="str">
        <f>IF(LEN(TRIM('3 Освоение программы'!B74))=0," ",'3 Освоение программы'!B74)</f>
        <v>Вид практики, тип практики</v>
      </c>
      <c r="AF20" s="181"/>
      <c r="AG20" s="181"/>
      <c r="AH20" s="181"/>
      <c r="AI20" s="181"/>
      <c r="AJ20" s="181"/>
      <c r="AK20" s="181"/>
      <c r="AL20" s="181"/>
      <c r="AM20" s="181"/>
      <c r="AN20" s="181"/>
      <c r="AO20" s="181"/>
      <c r="AP20" s="181"/>
      <c r="AQ20" s="181"/>
      <c r="AR20" s="183" t="str">
        <f>IF(LEN(TRIM('3 Освоение программы'!C74))=0," ",'3 Освоение программы'!C74)</f>
        <v>?? з.е.</v>
      </c>
      <c r="AS20" s="183"/>
      <c r="AT20" s="183"/>
      <c r="AU20" s="183"/>
      <c r="AV20" s="183" t="str">
        <f>IF(LEN(TRIM('3 Освоение программы'!D74))=0," ",'3 Освоение программы'!D74)</f>
        <v>оценка</v>
      </c>
      <c r="AW20" s="183"/>
      <c r="AX20" s="183"/>
      <c r="AY20" s="183"/>
      <c r="AZ20" s="183"/>
      <c r="BA20" s="27"/>
    </row>
    <row r="21" spans="1:53" ht="9.9499999999999993" customHeight="1" x14ac:dyDescent="0.25">
      <c r="A21" s="91"/>
      <c r="B21" s="179" t="str">
        <f>IF(LEN(TRIM('3 Освоение программы'!B7))=0," ",'3 Освоение программы'!B7)</f>
        <v>Дисциплина 6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80" t="str">
        <f>IF(LEN(TRIM('3 Освоение программы'!C7))=0," ",'3 Освоение программы'!C7)</f>
        <v>?? з.е.</v>
      </c>
      <c r="R21" s="180"/>
      <c r="S21" s="180"/>
      <c r="T21" s="180"/>
      <c r="U21" s="180"/>
      <c r="V21" s="180" t="str">
        <f>IF(LEN(TRIM('3 Освоение программы'!D7))=0," ",'3 Освоение программы'!D7)</f>
        <v>оценка</v>
      </c>
      <c r="W21" s="180"/>
      <c r="X21" s="180"/>
      <c r="Y21" s="180"/>
      <c r="Z21" s="180"/>
      <c r="AA21" s="180"/>
      <c r="AB21" s="90"/>
      <c r="AC21" s="90"/>
      <c r="AD21" s="90"/>
      <c r="AE21" s="181" t="str">
        <f>IF(LEN(TRIM('3 Освоение программы'!B75))=0," ",'3 Освоение программы'!B75)</f>
        <v>Вид практики, тип практики</v>
      </c>
      <c r="AF21" s="181"/>
      <c r="AG21" s="181"/>
      <c r="AH21" s="181"/>
      <c r="AI21" s="181"/>
      <c r="AJ21" s="181"/>
      <c r="AK21" s="181"/>
      <c r="AL21" s="181"/>
      <c r="AM21" s="181"/>
      <c r="AN21" s="181"/>
      <c r="AO21" s="181"/>
      <c r="AP21" s="181"/>
      <c r="AQ21" s="181"/>
      <c r="AR21" s="183" t="str">
        <f>IF(LEN(TRIM('3 Освоение программы'!C75))=0," ",'3 Освоение программы'!C75)</f>
        <v>?? з.е.</v>
      </c>
      <c r="AS21" s="183"/>
      <c r="AT21" s="183"/>
      <c r="AU21" s="183"/>
      <c r="AV21" s="183" t="str">
        <f>IF(LEN(TRIM('3 Освоение программы'!D75))=0," ",'3 Освоение программы'!D75)</f>
        <v>оценка</v>
      </c>
      <c r="AW21" s="183"/>
      <c r="AX21" s="183"/>
      <c r="AY21" s="183"/>
      <c r="AZ21" s="183"/>
      <c r="BA21" s="27"/>
    </row>
    <row r="22" spans="1:53" ht="9.9499999999999993" customHeight="1" x14ac:dyDescent="0.25">
      <c r="A22" s="91"/>
      <c r="B22" s="179" t="str">
        <f>IF(LEN(TRIM('3 Освоение программы'!B8))=0," ",'3 Освоение программы'!B8)</f>
        <v>Дисциплина 7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  <c r="N22" s="179"/>
      <c r="O22" s="179"/>
      <c r="P22" s="179"/>
      <c r="Q22" s="180" t="str">
        <f>IF(LEN(TRIM('3 Освоение программы'!C8))=0," ",'3 Освоение программы'!C8)</f>
        <v>?? з.е.</v>
      </c>
      <c r="R22" s="180"/>
      <c r="S22" s="180"/>
      <c r="T22" s="180"/>
      <c r="U22" s="180"/>
      <c r="V22" s="180" t="str">
        <f>IF(LEN(TRIM('3 Освоение программы'!D8))=0," ",'3 Освоение программы'!D8)</f>
        <v>оценка</v>
      </c>
      <c r="W22" s="180"/>
      <c r="X22" s="180"/>
      <c r="Y22" s="180"/>
      <c r="Z22" s="180"/>
      <c r="AA22" s="180"/>
      <c r="AB22" s="90"/>
      <c r="AC22" s="90"/>
      <c r="AD22" s="90"/>
      <c r="AE22" s="181" t="str">
        <f>IF(LEN(TRIM('3 Освоение программы'!B76))=0," ",'3 Освоение программы'!B76)</f>
        <v>Вид практики, тип практики</v>
      </c>
      <c r="AF22" s="181"/>
      <c r="AG22" s="181"/>
      <c r="AH22" s="181"/>
      <c r="AI22" s="181"/>
      <c r="AJ22" s="181"/>
      <c r="AK22" s="181"/>
      <c r="AL22" s="181"/>
      <c r="AM22" s="181"/>
      <c r="AN22" s="181"/>
      <c r="AO22" s="181"/>
      <c r="AP22" s="181"/>
      <c r="AQ22" s="181"/>
      <c r="AR22" s="183" t="str">
        <f>IF(LEN(TRIM('3 Освоение программы'!C76))=0," ",'3 Освоение программы'!C76)</f>
        <v>?? з.е.</v>
      </c>
      <c r="AS22" s="183"/>
      <c r="AT22" s="183"/>
      <c r="AU22" s="183"/>
      <c r="AV22" s="183" t="str">
        <f>IF(LEN(TRIM('3 Освоение программы'!D76))=0," ",'3 Освоение программы'!D76)</f>
        <v>оценка</v>
      </c>
      <c r="AW22" s="183"/>
      <c r="AX22" s="183"/>
      <c r="AY22" s="183"/>
      <c r="AZ22" s="183"/>
      <c r="BA22" s="27"/>
    </row>
    <row r="23" spans="1:53" ht="9.9499999999999993" customHeight="1" x14ac:dyDescent="0.25">
      <c r="A23" s="91"/>
      <c r="B23" s="179" t="str">
        <f>IF(LEN(TRIM('3 Освоение программы'!B9))=0," ",'3 Освоение программы'!B9)</f>
        <v>Дисциплина 8</v>
      </c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80" t="str">
        <f>IF(LEN(TRIM('3 Освоение программы'!C9))=0," ",'3 Освоение программы'!C9)</f>
        <v>?? з.е.</v>
      </c>
      <c r="R23" s="180"/>
      <c r="S23" s="180"/>
      <c r="T23" s="180"/>
      <c r="U23" s="180"/>
      <c r="V23" s="180" t="str">
        <f>IF(LEN(TRIM('3 Освоение программы'!D9))=0," ",'3 Освоение программы'!D9)</f>
        <v>оценка</v>
      </c>
      <c r="W23" s="180"/>
      <c r="X23" s="180"/>
      <c r="Y23" s="180"/>
      <c r="Z23" s="180"/>
      <c r="AA23" s="180"/>
      <c r="AB23" s="90"/>
      <c r="AC23" s="90"/>
      <c r="AD23" s="90"/>
      <c r="AE23" s="181" t="str">
        <f>IF(LEN(TRIM('3 Освоение программы'!B77))=0," ",'3 Освоение программы'!B77)</f>
        <v>Вид практики, тип практики</v>
      </c>
      <c r="AF23" s="181"/>
      <c r="AG23" s="181"/>
      <c r="AH23" s="181"/>
      <c r="AI23" s="181"/>
      <c r="AJ23" s="181"/>
      <c r="AK23" s="181"/>
      <c r="AL23" s="181"/>
      <c r="AM23" s="181"/>
      <c r="AN23" s="181"/>
      <c r="AO23" s="181"/>
      <c r="AP23" s="181"/>
      <c r="AQ23" s="181"/>
      <c r="AR23" s="183" t="str">
        <f>IF(LEN(TRIM('3 Освоение программы'!C77))=0," ",'3 Освоение программы'!C77)</f>
        <v>?? з.е.</v>
      </c>
      <c r="AS23" s="183"/>
      <c r="AT23" s="183"/>
      <c r="AU23" s="183"/>
      <c r="AV23" s="183" t="str">
        <f>IF(LEN(TRIM('3 Освоение программы'!D77))=0," ",'3 Освоение программы'!D77)</f>
        <v>оценка</v>
      </c>
      <c r="AW23" s="183"/>
      <c r="AX23" s="183"/>
      <c r="AY23" s="183"/>
      <c r="AZ23" s="183"/>
      <c r="BA23" s="27"/>
    </row>
    <row r="24" spans="1:53" ht="9.9499999999999993" customHeight="1" x14ac:dyDescent="0.25">
      <c r="A24" s="91"/>
      <c r="B24" s="179" t="str">
        <f>IF(LEN(TRIM('3 Освоение программы'!B10))=0," ",'3 Освоение программы'!B10)</f>
        <v>Дисциплина 9</v>
      </c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80" t="str">
        <f>IF(LEN(TRIM('3 Освоение программы'!C10))=0," ",'3 Освоение программы'!C10)</f>
        <v>?? з.е.</v>
      </c>
      <c r="R24" s="180"/>
      <c r="S24" s="180"/>
      <c r="T24" s="180"/>
      <c r="U24" s="180"/>
      <c r="V24" s="180" t="str">
        <f>IF(LEN(TRIM('3 Освоение программы'!D10))=0," ",'3 Освоение программы'!D10)</f>
        <v>оценка</v>
      </c>
      <c r="W24" s="180"/>
      <c r="X24" s="180"/>
      <c r="Y24" s="180"/>
      <c r="Z24" s="180"/>
      <c r="AA24" s="180"/>
      <c r="AB24" s="90"/>
      <c r="AC24" s="90"/>
      <c r="AD24" s="90"/>
      <c r="AE24" s="181" t="str">
        <f>IF(LEN(TRIM('3 Освоение программы'!B78))=0," ",'3 Освоение программы'!B78)</f>
        <v>Вид практики, тип практики</v>
      </c>
      <c r="AF24" s="181"/>
      <c r="AG24" s="181"/>
      <c r="AH24" s="181"/>
      <c r="AI24" s="181"/>
      <c r="AJ24" s="181"/>
      <c r="AK24" s="181"/>
      <c r="AL24" s="181"/>
      <c r="AM24" s="181"/>
      <c r="AN24" s="181"/>
      <c r="AO24" s="181"/>
      <c r="AP24" s="181"/>
      <c r="AQ24" s="181"/>
      <c r="AR24" s="183" t="str">
        <f>IF(LEN(TRIM('3 Освоение программы'!C78))=0," ",'3 Освоение программы'!C78)</f>
        <v>?? з.е.</v>
      </c>
      <c r="AS24" s="183"/>
      <c r="AT24" s="183"/>
      <c r="AU24" s="183"/>
      <c r="AV24" s="183" t="str">
        <f>IF(LEN(TRIM('3 Освоение программы'!D78))=0," ",'3 Освоение программы'!D78)</f>
        <v>оценка</v>
      </c>
      <c r="AW24" s="183"/>
      <c r="AX24" s="183"/>
      <c r="AY24" s="183"/>
      <c r="AZ24" s="183"/>
      <c r="BA24" s="27"/>
    </row>
    <row r="25" spans="1:53" ht="9.9499999999999993" customHeight="1" x14ac:dyDescent="0.25">
      <c r="A25" s="91"/>
      <c r="B25" s="179" t="str">
        <f>IF(LEN(TRIM('3 Освоение программы'!B11))=0," ",'3 Освоение программы'!B11)</f>
        <v>Дисциплина 10</v>
      </c>
      <c r="C25" s="179"/>
      <c r="D25" s="179"/>
      <c r="E25" s="179"/>
      <c r="F25" s="179"/>
      <c r="G25" s="179"/>
      <c r="H25" s="179"/>
      <c r="I25" s="179"/>
      <c r="J25" s="179"/>
      <c r="K25" s="179"/>
      <c r="L25" s="179"/>
      <c r="M25" s="179"/>
      <c r="N25" s="179"/>
      <c r="O25" s="179"/>
      <c r="P25" s="179"/>
      <c r="Q25" s="180" t="str">
        <f>IF(LEN(TRIM('3 Освоение программы'!C11))=0," ",'3 Освоение программы'!C11)</f>
        <v>?? з.е.</v>
      </c>
      <c r="R25" s="180"/>
      <c r="S25" s="180"/>
      <c r="T25" s="180"/>
      <c r="U25" s="180"/>
      <c r="V25" s="180" t="str">
        <f>IF(LEN(TRIM('3 Освоение программы'!D11))=0," ",'3 Освоение программы'!D11)</f>
        <v>оценка</v>
      </c>
      <c r="W25" s="180"/>
      <c r="X25" s="180"/>
      <c r="Y25" s="180"/>
      <c r="Z25" s="180"/>
      <c r="AA25" s="180"/>
      <c r="AB25" s="90"/>
      <c r="AC25" s="90"/>
      <c r="AD25" s="90"/>
      <c r="AE25" s="181" t="str">
        <f>IF(LEN(TRIM('3 Освоение программы'!B79))=0," ",'3 Освоение программы'!B79)</f>
        <v>Государственная итоговая аттестация</v>
      </c>
      <c r="AF25" s="181"/>
      <c r="AG25" s="181"/>
      <c r="AH25" s="181"/>
      <c r="AI25" s="181"/>
      <c r="AJ25" s="181"/>
      <c r="AK25" s="181"/>
      <c r="AL25" s="181"/>
      <c r="AM25" s="181"/>
      <c r="AN25" s="181"/>
      <c r="AO25" s="181"/>
      <c r="AP25" s="181"/>
      <c r="AQ25" s="181"/>
      <c r="AR25" s="183" t="str">
        <f>IF(LEN(TRIM('3 Освоение программы'!C79))=0," ",'3 Освоение программы'!C79)</f>
        <v>??  з.е.</v>
      </c>
      <c r="AS25" s="183"/>
      <c r="AT25" s="183"/>
      <c r="AU25" s="183"/>
      <c r="AV25" s="183" t="str">
        <f>IF(LEN(TRIM('3 Освоение программы'!D79))=0," ",'3 Освоение программы'!D79)</f>
        <v>х</v>
      </c>
      <c r="AW25" s="183"/>
      <c r="AX25" s="183"/>
      <c r="AY25" s="183"/>
      <c r="AZ25" s="183"/>
      <c r="BA25" s="27"/>
    </row>
    <row r="26" spans="1:53" ht="9.9499999999999993" customHeight="1" x14ac:dyDescent="0.25">
      <c r="A26" s="91"/>
      <c r="B26" s="179" t="str">
        <f>IF(LEN(TRIM('3 Освоение программы'!B12))=0," ",'3 Освоение программы'!B12)</f>
        <v>Дисциплина 11</v>
      </c>
      <c r="C26" s="179"/>
      <c r="D26" s="179"/>
      <c r="E26" s="179"/>
      <c r="F26" s="179"/>
      <c r="G26" s="179"/>
      <c r="H26" s="179"/>
      <c r="I26" s="179"/>
      <c r="J26" s="179"/>
      <c r="K26" s="179"/>
      <c r="L26" s="179"/>
      <c r="M26" s="179"/>
      <c r="N26" s="179"/>
      <c r="O26" s="179"/>
      <c r="P26" s="179"/>
      <c r="Q26" s="180" t="str">
        <f>IF(LEN(TRIM('3 Освоение программы'!C12))=0," ",'3 Освоение программы'!C12)</f>
        <v>?? з.е.</v>
      </c>
      <c r="R26" s="180"/>
      <c r="S26" s="180"/>
      <c r="T26" s="180"/>
      <c r="U26" s="180"/>
      <c r="V26" s="180" t="str">
        <f>IF(LEN(TRIM('3 Освоение программы'!D12))=0," ",'3 Освоение программы'!D12)</f>
        <v>оценка</v>
      </c>
      <c r="W26" s="180"/>
      <c r="X26" s="180"/>
      <c r="Y26" s="180"/>
      <c r="Z26" s="180"/>
      <c r="AA26" s="180"/>
      <c r="AB26" s="90"/>
      <c r="AC26" s="90"/>
      <c r="AD26" s="90"/>
      <c r="AE26" s="181" t="str">
        <f>IF(LEN(TRIM('3 Освоение программы'!B80))=0," ",'3 Освоение программы'!B80)</f>
        <v>в том числе:</v>
      </c>
      <c r="AF26" s="181"/>
      <c r="AG26" s="181"/>
      <c r="AH26" s="181"/>
      <c r="AI26" s="181"/>
      <c r="AJ26" s="181"/>
      <c r="AK26" s="181"/>
      <c r="AL26" s="181"/>
      <c r="AM26" s="181"/>
      <c r="AN26" s="181"/>
      <c r="AO26" s="181"/>
      <c r="AP26" s="181"/>
      <c r="AQ26" s="181"/>
      <c r="AR26" s="183" t="str">
        <f>IF(LEN(TRIM('3 Освоение программы'!C80))=0," ",'3 Освоение программы'!C80)</f>
        <v xml:space="preserve"> </v>
      </c>
      <c r="AS26" s="183"/>
      <c r="AT26" s="183"/>
      <c r="AU26" s="183"/>
      <c r="AV26" s="183" t="str">
        <f>IF(LEN(TRIM('3 Освоение программы'!D80))=0," ",'3 Освоение программы'!D80)</f>
        <v xml:space="preserve"> </v>
      </c>
      <c r="AW26" s="183"/>
      <c r="AX26" s="183"/>
      <c r="AY26" s="183"/>
      <c r="AZ26" s="183"/>
      <c r="BA26" s="27"/>
    </row>
    <row r="27" spans="1:53" ht="9.9499999999999993" customHeight="1" x14ac:dyDescent="0.25">
      <c r="A27" s="91"/>
      <c r="B27" s="179" t="str">
        <f>IF(LEN(TRIM('3 Освоение программы'!B13))=0," ",'3 Освоение программы'!B13)</f>
        <v>Дисциплина 12</v>
      </c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80" t="str">
        <f>IF(LEN(TRIM('3 Освоение программы'!C13))=0," ",'3 Освоение программы'!C13)</f>
        <v>?? з.е.</v>
      </c>
      <c r="R27" s="180"/>
      <c r="S27" s="180"/>
      <c r="T27" s="180"/>
      <c r="U27" s="180"/>
      <c r="V27" s="180" t="str">
        <f>IF(LEN(TRIM('3 Освоение программы'!D13))=0," ",'3 Освоение программы'!D13)</f>
        <v>оценка</v>
      </c>
      <c r="W27" s="180"/>
      <c r="X27" s="180"/>
      <c r="Y27" s="180"/>
      <c r="Z27" s="180"/>
      <c r="AA27" s="180"/>
      <c r="AB27" s="90"/>
      <c r="AC27" s="90"/>
      <c r="AD27" s="90"/>
      <c r="AE27" s="181" t="str">
        <f>IF(LEN(TRIM('3 Освоение программы'!B81))=0," ",'3 Освоение программы'!B81)</f>
        <v xml:space="preserve">Выпускная квалификационная работа (бакалаврская работа) </v>
      </c>
      <c r="AF27" s="181"/>
      <c r="AG27" s="181"/>
      <c r="AH27" s="181"/>
      <c r="AI27" s="181"/>
      <c r="AJ27" s="181"/>
      <c r="AK27" s="181"/>
      <c r="AL27" s="181"/>
      <c r="AM27" s="181"/>
      <c r="AN27" s="181"/>
      <c r="AO27" s="181"/>
      <c r="AP27" s="181"/>
      <c r="AQ27" s="181"/>
      <c r="AR27" s="183" t="str">
        <f>IF(LEN(TRIM('3 Освоение программы'!C81))=0," ",'3 Освоение программы'!C81)</f>
        <v xml:space="preserve"> </v>
      </c>
      <c r="AS27" s="183"/>
      <c r="AT27" s="183"/>
      <c r="AU27" s="183"/>
      <c r="AV27" s="183" t="str">
        <f>IF(LEN(TRIM('3 Освоение программы'!D81))=0," ",'3 Освоение программы'!D81)</f>
        <v xml:space="preserve"> </v>
      </c>
      <c r="AW27" s="183"/>
      <c r="AX27" s="183"/>
      <c r="AY27" s="183"/>
      <c r="AZ27" s="183"/>
      <c r="BA27" s="27"/>
    </row>
    <row r="28" spans="1:53" ht="9.9499999999999993" customHeight="1" x14ac:dyDescent="0.25">
      <c r="A28" s="91"/>
      <c r="B28" s="179" t="str">
        <f>IF(LEN(TRIM('3 Освоение программы'!B14))=0," ",'3 Освоение программы'!B14)</f>
        <v>Дисциплина 13</v>
      </c>
      <c r="C28" s="179"/>
      <c r="D28" s="179"/>
      <c r="E28" s="179"/>
      <c r="F28" s="179"/>
      <c r="G28" s="179"/>
      <c r="H28" s="179"/>
      <c r="I28" s="179"/>
      <c r="J28" s="179"/>
      <c r="K28" s="179"/>
      <c r="L28" s="179"/>
      <c r="M28" s="179"/>
      <c r="N28" s="179"/>
      <c r="O28" s="179"/>
      <c r="P28" s="179"/>
      <c r="Q28" s="180" t="str">
        <f>IF(LEN(TRIM('3 Освоение программы'!C14))=0," ",'3 Освоение программы'!C14)</f>
        <v>?? з.е.</v>
      </c>
      <c r="R28" s="180"/>
      <c r="S28" s="180"/>
      <c r="T28" s="180"/>
      <c r="U28" s="180"/>
      <c r="V28" s="180" t="str">
        <f>IF(LEN(TRIM('3 Освоение программы'!D14))=0," ",'3 Освоение программы'!D14)</f>
        <v>оценка</v>
      </c>
      <c r="W28" s="180"/>
      <c r="X28" s="180"/>
      <c r="Y28" s="180"/>
      <c r="Z28" s="180"/>
      <c r="AA28" s="180"/>
      <c r="AB28" s="90"/>
      <c r="AC28" s="90"/>
      <c r="AD28" s="90"/>
      <c r="AE28" s="181" t="str">
        <f>IF(LEN(TRIM('3 Освоение программы'!B82))=0," ",'3 Освоение программы'!B82)</f>
        <v>"Субъективное благополучие отстающих в обучении</v>
      </c>
      <c r="AF28" s="181"/>
      <c r="AG28" s="181"/>
      <c r="AH28" s="181"/>
      <c r="AI28" s="181"/>
      <c r="AJ28" s="181"/>
      <c r="AK28" s="181"/>
      <c r="AL28" s="181"/>
      <c r="AM28" s="181"/>
      <c r="AN28" s="181"/>
      <c r="AO28" s="181"/>
      <c r="AP28" s="181"/>
      <c r="AQ28" s="181"/>
      <c r="AR28" s="183" t="str">
        <f>IF(LEN(TRIM('3 Освоение программы'!C82))=0," ",'3 Освоение программы'!C82)</f>
        <v xml:space="preserve"> </v>
      </c>
      <c r="AS28" s="183"/>
      <c r="AT28" s="183"/>
      <c r="AU28" s="183"/>
      <c r="AV28" s="183" t="str">
        <f>IF(LEN(TRIM('3 Освоение программы'!D82))=0," ",'3 Освоение программы'!D82)</f>
        <v xml:space="preserve"> </v>
      </c>
      <c r="AW28" s="183"/>
      <c r="AX28" s="183"/>
      <c r="AY28" s="183"/>
      <c r="AZ28" s="183"/>
      <c r="BA28" s="27"/>
    </row>
    <row r="29" spans="1:53" ht="9.9499999999999993" customHeight="1" x14ac:dyDescent="0.25">
      <c r="A29" s="91"/>
      <c r="B29" s="179" t="str">
        <f>IF(LEN(TRIM('3 Освоение программы'!B15))=0," ",'3 Освоение программы'!B15)</f>
        <v>Дисциплина 14</v>
      </c>
      <c r="C29" s="179"/>
      <c r="D29" s="179"/>
      <c r="E29" s="179"/>
      <c r="F29" s="179"/>
      <c r="G29" s="179"/>
      <c r="H29" s="179"/>
      <c r="I29" s="179"/>
      <c r="J29" s="179"/>
      <c r="K29" s="179"/>
      <c r="L29" s="179"/>
      <c r="M29" s="179"/>
      <c r="N29" s="179"/>
      <c r="O29" s="179"/>
      <c r="P29" s="179"/>
      <c r="Q29" s="180" t="str">
        <f>IF(LEN(TRIM('3 Освоение программы'!C15))=0," ",'3 Освоение программы'!C15)</f>
        <v>?? з.е.</v>
      </c>
      <c r="R29" s="180"/>
      <c r="S29" s="180"/>
      <c r="T29" s="180"/>
      <c r="U29" s="180"/>
      <c r="V29" s="180" t="str">
        <f>IF(LEN(TRIM('3 Освоение программы'!D15))=0," ",'3 Освоение программы'!D15)</f>
        <v>оценка</v>
      </c>
      <c r="W29" s="180"/>
      <c r="X29" s="180"/>
      <c r="Y29" s="180"/>
      <c r="Z29" s="180"/>
      <c r="AA29" s="180"/>
      <c r="AB29" s="90"/>
      <c r="AC29" s="90"/>
      <c r="AD29" s="90"/>
      <c r="AE29" s="181" t="str">
        <f>IF(LEN(TRIM('3 Освоение программы'!B83))=0," ",'3 Освоение программы'!B83)</f>
        <v>младших школьников"</v>
      </c>
      <c r="AF29" s="181"/>
      <c r="AG29" s="181"/>
      <c r="AH29" s="181"/>
      <c r="AI29" s="181"/>
      <c r="AJ29" s="181"/>
      <c r="AK29" s="181"/>
      <c r="AL29" s="181"/>
      <c r="AM29" s="181"/>
      <c r="AN29" s="181"/>
      <c r="AO29" s="181"/>
      <c r="AP29" s="181"/>
      <c r="AQ29" s="181"/>
      <c r="AR29" s="183" t="str">
        <f>IF(LEN(TRIM('3 Освоение программы'!C83))=0," ",'3 Освоение программы'!C83)</f>
        <v>х</v>
      </c>
      <c r="AS29" s="183"/>
      <c r="AT29" s="183"/>
      <c r="AU29" s="183"/>
      <c r="AV29" s="183" t="str">
        <f>IF(LEN(TRIM('3 Освоение программы'!D83))=0," ",'3 Освоение программы'!D83)</f>
        <v>оценка</v>
      </c>
      <c r="AW29" s="183"/>
      <c r="AX29" s="183"/>
      <c r="AY29" s="183"/>
      <c r="AZ29" s="183"/>
      <c r="BA29" s="27"/>
    </row>
    <row r="30" spans="1:53" ht="9.9499999999999993" customHeight="1" x14ac:dyDescent="0.25">
      <c r="A30" s="91"/>
      <c r="B30" s="179" t="str">
        <f>IF(LEN(TRIM('3 Освоение программы'!B16))=0," ",'3 Освоение программы'!B16)</f>
        <v>Дисциплина 15</v>
      </c>
      <c r="C30" s="179"/>
      <c r="D30" s="179"/>
      <c r="E30" s="179"/>
      <c r="F30" s="179"/>
      <c r="G30" s="179"/>
      <c r="H30" s="179"/>
      <c r="I30" s="179"/>
      <c r="J30" s="179"/>
      <c r="K30" s="179"/>
      <c r="L30" s="179"/>
      <c r="M30" s="179"/>
      <c r="N30" s="179"/>
      <c r="O30" s="179"/>
      <c r="P30" s="179"/>
      <c r="Q30" s="180" t="str">
        <f>IF(LEN(TRIM('3 Освоение программы'!C16))=0," ",'3 Освоение программы'!C16)</f>
        <v>?? з.е.</v>
      </c>
      <c r="R30" s="180"/>
      <c r="S30" s="180"/>
      <c r="T30" s="180"/>
      <c r="U30" s="180"/>
      <c r="V30" s="180" t="str">
        <f>IF(LEN(TRIM('3 Освоение программы'!D16))=0," ",'3 Освоение программы'!D16)</f>
        <v>оценка</v>
      </c>
      <c r="W30" s="180"/>
      <c r="X30" s="180"/>
      <c r="Y30" s="180"/>
      <c r="Z30" s="180"/>
      <c r="AA30" s="180"/>
      <c r="AB30" s="90"/>
      <c r="AC30" s="90"/>
      <c r="AD30" s="90"/>
      <c r="AE30" s="181" t="str">
        <f>IF(LEN(TRIM('3 Освоение программы'!B84))=0," ",'3 Освоение программы'!B84)</f>
        <v>Объем образовательной программы</v>
      </c>
      <c r="AF30" s="181"/>
      <c r="AG30" s="181"/>
      <c r="AH30" s="181"/>
      <c r="AI30" s="181"/>
      <c r="AJ30" s="181"/>
      <c r="AK30" s="181"/>
      <c r="AL30" s="181"/>
      <c r="AM30" s="181"/>
      <c r="AN30" s="181"/>
      <c r="AO30" s="181"/>
      <c r="AP30" s="181"/>
      <c r="AQ30" s="181"/>
      <c r="AR30" s="183" t="str">
        <f>IF(LEN(TRIM('3 Освоение программы'!C84))=0," ",'3 Освоение программы'!C84)</f>
        <v>240 з.е.</v>
      </c>
      <c r="AS30" s="183"/>
      <c r="AT30" s="183"/>
      <c r="AU30" s="183"/>
      <c r="AV30" s="183" t="str">
        <f>IF(LEN(TRIM('3 Освоение программы'!D84))=0," ",'3 Освоение программы'!D84)</f>
        <v>х</v>
      </c>
      <c r="AW30" s="183"/>
      <c r="AX30" s="183"/>
      <c r="AY30" s="183"/>
      <c r="AZ30" s="183"/>
      <c r="BA30" s="27"/>
    </row>
    <row r="31" spans="1:53" ht="9.9499999999999993" customHeight="1" x14ac:dyDescent="0.25">
      <c r="A31" s="91"/>
      <c r="B31" s="179" t="str">
        <f>IF(LEN(TRIM('3 Освоение программы'!B17))=0," ",'3 Освоение программы'!B17)</f>
        <v>Дисциплина 16</v>
      </c>
      <c r="C31" s="179"/>
      <c r="D31" s="179"/>
      <c r="E31" s="179"/>
      <c r="F31" s="179"/>
      <c r="G31" s="179"/>
      <c r="H31" s="179"/>
      <c r="I31" s="179"/>
      <c r="J31" s="179"/>
      <c r="K31" s="179"/>
      <c r="L31" s="179"/>
      <c r="M31" s="179"/>
      <c r="N31" s="179"/>
      <c r="O31" s="179"/>
      <c r="P31" s="179"/>
      <c r="Q31" s="180" t="str">
        <f>IF(LEN(TRIM('3 Освоение программы'!C17))=0," ",'3 Освоение программы'!C17)</f>
        <v>?? з.е.</v>
      </c>
      <c r="R31" s="180"/>
      <c r="S31" s="180"/>
      <c r="T31" s="180"/>
      <c r="U31" s="180"/>
      <c r="V31" s="180" t="str">
        <f>IF(LEN(TRIM('3 Освоение программы'!D17))=0," ",'3 Освоение программы'!D17)</f>
        <v>оценка</v>
      </c>
      <c r="W31" s="180"/>
      <c r="X31" s="180"/>
      <c r="Y31" s="180"/>
      <c r="Z31" s="180"/>
      <c r="AA31" s="180"/>
      <c r="AB31" s="90"/>
      <c r="AC31" s="90"/>
      <c r="AD31" s="90"/>
      <c r="AE31" s="181" t="str">
        <f>IF(LEN(TRIM('3 Освоение программы'!B85))=0," ",'3 Освоение программы'!B85)</f>
        <v xml:space="preserve">в том числе объем контактной работы обучающихся </v>
      </c>
      <c r="AF31" s="181"/>
      <c r="AG31" s="181"/>
      <c r="AH31" s="181"/>
      <c r="AI31" s="181"/>
      <c r="AJ31" s="181"/>
      <c r="AK31" s="181"/>
      <c r="AL31" s="181"/>
      <c r="AM31" s="181"/>
      <c r="AN31" s="181"/>
      <c r="AO31" s="181"/>
      <c r="AP31" s="181"/>
      <c r="AQ31" s="181"/>
      <c r="AR31" s="183" t="str">
        <f>IF(LEN(TRIM('3 Освоение программы'!C85))=0," ",'3 Освоение программы'!C85)</f>
        <v xml:space="preserve"> </v>
      </c>
      <c r="AS31" s="183"/>
      <c r="AT31" s="183"/>
      <c r="AU31" s="183"/>
      <c r="AV31" s="183" t="str">
        <f>IF(LEN(TRIM('3 Освоение программы'!D85))=0," ",'3 Освоение программы'!D85)</f>
        <v xml:space="preserve"> </v>
      </c>
      <c r="AW31" s="183"/>
      <c r="AX31" s="183"/>
      <c r="AY31" s="183"/>
      <c r="AZ31" s="183"/>
      <c r="BA31" s="27"/>
    </row>
    <row r="32" spans="1:53" ht="9.9499999999999993" customHeight="1" x14ac:dyDescent="0.25">
      <c r="A32" s="91"/>
      <c r="B32" s="179" t="str">
        <f>IF(LEN(TRIM('3 Освоение программы'!B18))=0," ",'3 Освоение программы'!B18)</f>
        <v>Дисциплина 17</v>
      </c>
      <c r="C32" s="179"/>
      <c r="D32" s="179"/>
      <c r="E32" s="179"/>
      <c r="F32" s="179"/>
      <c r="G32" s="179"/>
      <c r="H32" s="179"/>
      <c r="I32" s="179"/>
      <c r="J32" s="179"/>
      <c r="K32" s="179"/>
      <c r="L32" s="179"/>
      <c r="M32" s="179"/>
      <c r="N32" s="179"/>
      <c r="O32" s="179"/>
      <c r="P32" s="179"/>
      <c r="Q32" s="180" t="str">
        <f>IF(LEN(TRIM('3 Освоение программы'!C18))=0," ",'3 Освоение программы'!C18)</f>
        <v>?? з.е.</v>
      </c>
      <c r="R32" s="180"/>
      <c r="S32" s="180"/>
      <c r="T32" s="180"/>
      <c r="U32" s="180"/>
      <c r="V32" s="180" t="str">
        <f>IF(LEN(TRIM('3 Освоение программы'!D18))=0," ",'3 Освоение программы'!D18)</f>
        <v>оценка</v>
      </c>
      <c r="W32" s="180"/>
      <c r="X32" s="180"/>
      <c r="Y32" s="180"/>
      <c r="Z32" s="180"/>
      <c r="AA32" s="180"/>
      <c r="AB32" s="90"/>
      <c r="AC32" s="90"/>
      <c r="AD32" s="90"/>
      <c r="AE32" s="181" t="str">
        <f>IF(LEN(TRIM('3 Освоение программы'!B86))=0," ",'3 Освоение программы'!B86)</f>
        <v>во взаимодействии с преподавателем в академических часах:</v>
      </c>
      <c r="AF32" s="181"/>
      <c r="AG32" s="181"/>
      <c r="AH32" s="181"/>
      <c r="AI32" s="181"/>
      <c r="AJ32" s="181"/>
      <c r="AK32" s="181"/>
      <c r="AL32" s="181"/>
      <c r="AM32" s="181"/>
      <c r="AN32" s="181"/>
      <c r="AO32" s="181"/>
      <c r="AP32" s="181"/>
      <c r="AQ32" s="181"/>
      <c r="AR32" s="183" t="str">
        <f>IF(LEN(TRIM('3 Освоение программы'!C86))=0," ",'3 Освоение программы'!C86)</f>
        <v>?? ак. час.</v>
      </c>
      <c r="AS32" s="183"/>
      <c r="AT32" s="183"/>
      <c r="AU32" s="183"/>
      <c r="AV32" s="183" t="str">
        <f>IF(LEN(TRIM('3 Освоение программы'!D86))=0," ",'3 Освоение программы'!D86)</f>
        <v>х</v>
      </c>
      <c r="AW32" s="183"/>
      <c r="AX32" s="183"/>
      <c r="AY32" s="183"/>
      <c r="AZ32" s="183"/>
      <c r="BA32" s="27"/>
    </row>
    <row r="33" spans="1:53" ht="9.9499999999999993" customHeight="1" x14ac:dyDescent="0.25">
      <c r="A33" s="91"/>
      <c r="B33" s="179" t="str">
        <f>IF(LEN(TRIM('3 Освоение программы'!B19))=0," ",'3 Освоение программы'!B19)</f>
        <v>Дисциплина 18</v>
      </c>
      <c r="C33" s="179"/>
      <c r="D33" s="179"/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79"/>
      <c r="P33" s="179"/>
      <c r="Q33" s="180" t="str">
        <f>IF(LEN(TRIM('3 Освоение программы'!C19))=0," ",'3 Освоение программы'!C19)</f>
        <v>?? з.е.</v>
      </c>
      <c r="R33" s="180"/>
      <c r="S33" s="180"/>
      <c r="T33" s="180"/>
      <c r="U33" s="180"/>
      <c r="V33" s="180" t="str">
        <f>IF(LEN(TRIM('3 Освоение программы'!D19))=0," ",'3 Освоение программы'!D19)</f>
        <v>оценка</v>
      </c>
      <c r="W33" s="180"/>
      <c r="X33" s="180"/>
      <c r="Y33" s="180"/>
      <c r="Z33" s="180"/>
      <c r="AA33" s="180"/>
      <c r="AB33" s="90"/>
      <c r="AC33" s="90"/>
      <c r="AD33" s="90"/>
      <c r="AE33" s="181" t="str">
        <f>IF(LEN(TRIM('3 Освоение программы'!B87))=0," ",'3 Освоение программы'!B87)</f>
        <v xml:space="preserve">Наименование дисциплины "Очень длинная и очень итересная  </v>
      </c>
      <c r="AF33" s="181"/>
      <c r="AG33" s="181"/>
      <c r="AH33" s="181"/>
      <c r="AI33" s="181"/>
      <c r="AJ33" s="181"/>
      <c r="AK33" s="181"/>
      <c r="AL33" s="181"/>
      <c r="AM33" s="181"/>
      <c r="AN33" s="181"/>
      <c r="AO33" s="181"/>
      <c r="AP33" s="181"/>
      <c r="AQ33" s="181"/>
      <c r="AR33" s="183" t="str">
        <f>IF(LEN(TRIM('3 Освоение программы'!C87))=0," ",'3 Освоение программы'!C87)</f>
        <v xml:space="preserve"> </v>
      </c>
      <c r="AS33" s="183"/>
      <c r="AT33" s="183"/>
      <c r="AU33" s="183"/>
      <c r="AV33" s="183" t="str">
        <f>IF(LEN(TRIM('3 Освоение программы'!D87))=0," ",'3 Освоение программы'!D87)</f>
        <v xml:space="preserve"> </v>
      </c>
      <c r="AW33" s="183"/>
      <c r="AX33" s="183"/>
      <c r="AY33" s="183"/>
      <c r="AZ33" s="183"/>
      <c r="BA33" s="27"/>
    </row>
    <row r="34" spans="1:53" ht="9.9499999999999993" customHeight="1" x14ac:dyDescent="0.25">
      <c r="A34" s="91"/>
      <c r="B34" s="179" t="str">
        <f>IF(LEN(TRIM('3 Освоение программы'!B20))=0," ",'3 Освоение программы'!B20)</f>
        <v>Дисциплина 19</v>
      </c>
      <c r="C34" s="179"/>
      <c r="D34" s="179"/>
      <c r="E34" s="179"/>
      <c r="F34" s="179"/>
      <c r="G34" s="179"/>
      <c r="H34" s="179"/>
      <c r="I34" s="179"/>
      <c r="J34" s="179"/>
      <c r="K34" s="179"/>
      <c r="L34" s="179"/>
      <c r="M34" s="179"/>
      <c r="N34" s="179"/>
      <c r="O34" s="179"/>
      <c r="P34" s="179"/>
      <c r="Q34" s="180" t="str">
        <f>IF(LEN(TRIM('3 Освоение программы'!C20))=0," ",'3 Освоение программы'!C20)</f>
        <v>?? з.е.</v>
      </c>
      <c r="R34" s="180"/>
      <c r="S34" s="180"/>
      <c r="T34" s="180"/>
      <c r="U34" s="180"/>
      <c r="V34" s="180" t="str">
        <f>IF(LEN(TRIM('3 Освоение программы'!D20))=0," ",'3 Освоение программы'!D20)</f>
        <v>оценка</v>
      </c>
      <c r="W34" s="180"/>
      <c r="X34" s="180"/>
      <c r="Y34" s="180"/>
      <c r="Z34" s="180"/>
      <c r="AA34" s="180"/>
      <c r="AB34" s="90"/>
      <c r="AC34" s="90"/>
      <c r="AD34" s="90"/>
      <c r="AE34" s="181" t="str">
        <f>IF(LEN(TRIM('3 Освоение программы'!B88))=0," ",'3 Освоение программы'!B88)</f>
        <v>тема курсовой работы"</v>
      </c>
      <c r="AF34" s="181"/>
      <c r="AG34" s="181"/>
      <c r="AH34" s="181"/>
      <c r="AI34" s="181"/>
      <c r="AJ34" s="181"/>
      <c r="AK34" s="181"/>
      <c r="AL34" s="181"/>
      <c r="AM34" s="181"/>
      <c r="AN34" s="181"/>
      <c r="AO34" s="181"/>
      <c r="AP34" s="181"/>
      <c r="AQ34" s="181"/>
      <c r="AR34" s="183" t="str">
        <f>IF(LEN(TRIM('3 Освоение программы'!C88))=0," ",'3 Освоение программы'!C88)</f>
        <v xml:space="preserve"> </v>
      </c>
      <c r="AS34" s="183"/>
      <c r="AT34" s="183"/>
      <c r="AU34" s="183"/>
      <c r="AV34" s="183" t="str">
        <f>IF(LEN(TRIM('3 Освоение программы'!D88))=0," ",'3 Освоение программы'!D88)</f>
        <v>оценка</v>
      </c>
      <c r="AW34" s="183"/>
      <c r="AX34" s="183"/>
      <c r="AY34" s="183"/>
      <c r="AZ34" s="183"/>
      <c r="BA34" s="27"/>
    </row>
    <row r="35" spans="1:53" ht="9.9499999999999993" customHeight="1" x14ac:dyDescent="0.25">
      <c r="A35" s="91"/>
      <c r="B35" s="179" t="str">
        <f>IF(LEN(TRIM('3 Освоение программы'!B21))=0," ",'3 Освоение программы'!B21)</f>
        <v>Дисциплина 20</v>
      </c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80" t="str">
        <f>IF(LEN(TRIM('3 Освоение программы'!C21))=0," ",'3 Освоение программы'!C21)</f>
        <v>?? з.е.</v>
      </c>
      <c r="R35" s="180"/>
      <c r="S35" s="180"/>
      <c r="T35" s="180"/>
      <c r="U35" s="180"/>
      <c r="V35" s="180" t="str">
        <f>IF(LEN(TRIM('3 Освоение программы'!D21))=0," ",'3 Освоение программы'!D21)</f>
        <v>оценка</v>
      </c>
      <c r="W35" s="180"/>
      <c r="X35" s="180"/>
      <c r="Y35" s="180"/>
      <c r="Z35" s="180"/>
      <c r="AA35" s="180"/>
      <c r="AB35" s="90"/>
      <c r="AC35" s="90"/>
      <c r="AD35" s="90"/>
      <c r="AE35" s="181" t="str">
        <f>IF(LEN(TRIM('3 Освоение программы'!B89))=0," ",'3 Освоение программы'!B89)</f>
        <v xml:space="preserve">Наименование дисциплины "Очень длинная и очень итересная  </v>
      </c>
      <c r="AF35" s="181"/>
      <c r="AG35" s="181"/>
      <c r="AH35" s="181"/>
      <c r="AI35" s="181"/>
      <c r="AJ35" s="181"/>
      <c r="AK35" s="181"/>
      <c r="AL35" s="181"/>
      <c r="AM35" s="181"/>
      <c r="AN35" s="181"/>
      <c r="AO35" s="181"/>
      <c r="AP35" s="181"/>
      <c r="AQ35" s="181"/>
      <c r="AR35" s="183" t="str">
        <f>IF(LEN(TRIM('3 Освоение программы'!C89))=0," ",'3 Освоение программы'!C89)</f>
        <v xml:space="preserve"> </v>
      </c>
      <c r="AS35" s="183"/>
      <c r="AT35" s="183"/>
      <c r="AU35" s="183"/>
      <c r="AV35" s="183" t="str">
        <f>IF(LEN(TRIM('3 Освоение программы'!D89))=0," ",'3 Освоение программы'!D89)</f>
        <v xml:space="preserve"> </v>
      </c>
      <c r="AW35" s="183"/>
      <c r="AX35" s="183"/>
      <c r="AY35" s="183"/>
      <c r="AZ35" s="183"/>
      <c r="BA35" s="27"/>
    </row>
    <row r="36" spans="1:53" ht="9.9499999999999993" customHeight="1" x14ac:dyDescent="0.25">
      <c r="A36" s="91"/>
      <c r="B36" s="179" t="str">
        <f>IF(LEN(TRIM('3 Освоение программы'!B22))=0," ",'3 Освоение программы'!B22)</f>
        <v>Дисциплина 21</v>
      </c>
      <c r="C36" s="179"/>
      <c r="D36" s="179"/>
      <c r="E36" s="179"/>
      <c r="F36" s="179"/>
      <c r="G36" s="179"/>
      <c r="H36" s="179"/>
      <c r="I36" s="179"/>
      <c r="J36" s="179"/>
      <c r="K36" s="179"/>
      <c r="L36" s="179"/>
      <c r="M36" s="179"/>
      <c r="N36" s="179"/>
      <c r="O36" s="179"/>
      <c r="P36" s="179"/>
      <c r="Q36" s="180" t="str">
        <f>IF(LEN(TRIM('3 Освоение программы'!C22))=0," ",'3 Освоение программы'!C22)</f>
        <v>?? з.е.</v>
      </c>
      <c r="R36" s="180"/>
      <c r="S36" s="180"/>
      <c r="T36" s="180"/>
      <c r="U36" s="180"/>
      <c r="V36" s="180" t="str">
        <f>IF(LEN(TRIM('3 Освоение программы'!D22))=0," ",'3 Освоение программы'!D22)</f>
        <v>оценка</v>
      </c>
      <c r="W36" s="180"/>
      <c r="X36" s="180"/>
      <c r="Y36" s="180"/>
      <c r="Z36" s="180"/>
      <c r="AA36" s="180"/>
      <c r="AB36" s="90"/>
      <c r="AC36" s="90"/>
      <c r="AD36" s="90"/>
      <c r="AE36" s="181" t="str">
        <f>IF(LEN(TRIM('3 Освоение программы'!B90))=0," ",'3 Освоение программы'!B90)</f>
        <v>тема курсовой работы"</v>
      </c>
      <c r="AF36" s="181"/>
      <c r="AG36" s="181"/>
      <c r="AH36" s="181"/>
      <c r="AI36" s="181"/>
      <c r="AJ36" s="181"/>
      <c r="AK36" s="181"/>
      <c r="AL36" s="181"/>
      <c r="AM36" s="181"/>
      <c r="AN36" s="181"/>
      <c r="AO36" s="181"/>
      <c r="AP36" s="181"/>
      <c r="AQ36" s="181"/>
      <c r="AR36" s="183" t="str">
        <f>IF(LEN(TRIM('3 Освоение программы'!C90))=0," ",'3 Освоение программы'!C90)</f>
        <v xml:space="preserve"> </v>
      </c>
      <c r="AS36" s="183"/>
      <c r="AT36" s="183"/>
      <c r="AU36" s="183"/>
      <c r="AV36" s="183" t="str">
        <f>IF(LEN(TRIM('3 Освоение программы'!D90))=0," ",'3 Освоение программы'!D90)</f>
        <v>оценка</v>
      </c>
      <c r="AW36" s="183"/>
      <c r="AX36" s="183"/>
      <c r="AY36" s="183"/>
      <c r="AZ36" s="183"/>
      <c r="BA36" s="27"/>
    </row>
    <row r="37" spans="1:53" ht="9.9499999999999993" customHeight="1" x14ac:dyDescent="0.25">
      <c r="A37" s="91"/>
      <c r="B37" s="179" t="str">
        <f>IF(LEN(TRIM('3 Освоение программы'!B23))=0," ",'3 Освоение программы'!B23)</f>
        <v>Дисциплина 22</v>
      </c>
      <c r="C37" s="179"/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80" t="str">
        <f>IF(LEN(TRIM('3 Освоение программы'!C23))=0," ",'3 Освоение программы'!C23)</f>
        <v>?? з.е.</v>
      </c>
      <c r="R37" s="180"/>
      <c r="S37" s="180"/>
      <c r="T37" s="180"/>
      <c r="U37" s="180"/>
      <c r="V37" s="180" t="str">
        <f>IF(LEN(TRIM('3 Освоение программы'!D23))=0," ",'3 Освоение программы'!D23)</f>
        <v>оценка</v>
      </c>
      <c r="W37" s="180"/>
      <c r="X37" s="180"/>
      <c r="Y37" s="180"/>
      <c r="Z37" s="180"/>
      <c r="AA37" s="180"/>
      <c r="AB37" s="90"/>
      <c r="AC37" s="90"/>
      <c r="AD37" s="90"/>
      <c r="AE37" s="181" t="str">
        <f>IF(LEN(TRIM('3 Освоение программы'!B91))=0," ",'3 Освоение программы'!B91)</f>
        <v>Факультативные дисциплины (модули)</v>
      </c>
      <c r="AF37" s="181"/>
      <c r="AG37" s="181"/>
      <c r="AH37" s="181"/>
      <c r="AI37" s="181"/>
      <c r="AJ37" s="181"/>
      <c r="AK37" s="181"/>
      <c r="AL37" s="181"/>
      <c r="AM37" s="181"/>
      <c r="AN37" s="181"/>
      <c r="AO37" s="181"/>
      <c r="AP37" s="181"/>
      <c r="AQ37" s="181"/>
      <c r="AR37" s="183" t="str">
        <f>IF(LEN(TRIM('3 Освоение программы'!C91))=0," ",'3 Освоение программы'!C91)</f>
        <v xml:space="preserve"> </v>
      </c>
      <c r="AS37" s="183"/>
      <c r="AT37" s="183"/>
      <c r="AU37" s="183"/>
      <c r="AV37" s="183" t="str">
        <f>IF(LEN(TRIM('3 Освоение программы'!D91))=0," ",'3 Освоение программы'!D91)</f>
        <v xml:space="preserve"> </v>
      </c>
      <c r="AW37" s="183"/>
      <c r="AX37" s="183"/>
      <c r="AY37" s="183"/>
      <c r="AZ37" s="183"/>
      <c r="BA37" s="27"/>
    </row>
    <row r="38" spans="1:53" ht="9.9499999999999993" customHeight="1" x14ac:dyDescent="0.25">
      <c r="A38" s="91"/>
      <c r="B38" s="179" t="str">
        <f>IF(LEN(TRIM('3 Освоение программы'!B24))=0," ",'3 Освоение программы'!B24)</f>
        <v>Дисциплина 23</v>
      </c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80" t="str">
        <f>IF(LEN(TRIM('3 Освоение программы'!C24))=0," ",'3 Освоение программы'!C24)</f>
        <v>?? з.е.</v>
      </c>
      <c r="R38" s="180"/>
      <c r="S38" s="180"/>
      <c r="T38" s="180"/>
      <c r="U38" s="180"/>
      <c r="V38" s="180" t="str">
        <f>IF(LEN(TRIM('3 Освоение программы'!D24))=0," ",'3 Освоение программы'!D24)</f>
        <v>оценка</v>
      </c>
      <c r="W38" s="180"/>
      <c r="X38" s="180"/>
      <c r="Y38" s="180"/>
      <c r="Z38" s="180"/>
      <c r="AA38" s="180"/>
      <c r="AB38" s="90"/>
      <c r="AC38" s="90"/>
      <c r="AD38" s="90"/>
      <c r="AE38" s="181" t="str">
        <f>IF(LEN(TRIM('3 Освоение программы'!B92))=0," ",'3 Освоение программы'!B92)</f>
        <v>в том числе:</v>
      </c>
      <c r="AF38" s="181"/>
      <c r="AG38" s="181"/>
      <c r="AH38" s="181"/>
      <c r="AI38" s="181"/>
      <c r="AJ38" s="181"/>
      <c r="AK38" s="181"/>
      <c r="AL38" s="181"/>
      <c r="AM38" s="181"/>
      <c r="AN38" s="181"/>
      <c r="AO38" s="181"/>
      <c r="AP38" s="181"/>
      <c r="AQ38" s="181"/>
      <c r="AR38" s="183" t="str">
        <f>IF(LEN(TRIM('3 Освоение программы'!C92))=0," ",'3 Освоение программы'!C92)</f>
        <v xml:space="preserve"> </v>
      </c>
      <c r="AS38" s="183"/>
      <c r="AT38" s="183"/>
      <c r="AU38" s="183"/>
      <c r="AV38" s="183" t="str">
        <f>IF(LEN(TRIM('3 Освоение программы'!D92))=0," ",'3 Освоение программы'!D92)</f>
        <v xml:space="preserve"> </v>
      </c>
      <c r="AW38" s="183"/>
      <c r="AX38" s="183"/>
      <c r="AY38" s="183"/>
      <c r="AZ38" s="183"/>
      <c r="BA38" s="27"/>
    </row>
    <row r="39" spans="1:53" ht="9.9499999999999993" customHeight="1" x14ac:dyDescent="0.25">
      <c r="A39" s="91"/>
      <c r="B39" s="179" t="str">
        <f>IF(LEN(TRIM('3 Освоение программы'!B25))=0," ",'3 Освоение программы'!B25)</f>
        <v>Дисциплина 24</v>
      </c>
      <c r="C39" s="179"/>
      <c r="D39" s="179"/>
      <c r="E39" s="179"/>
      <c r="F39" s="179"/>
      <c r="G39" s="179"/>
      <c r="H39" s="179"/>
      <c r="I39" s="179"/>
      <c r="J39" s="179"/>
      <c r="K39" s="179"/>
      <c r="L39" s="179"/>
      <c r="M39" s="179"/>
      <c r="N39" s="179"/>
      <c r="O39" s="179"/>
      <c r="P39" s="179"/>
      <c r="Q39" s="180" t="str">
        <f>IF(LEN(TRIM('3 Освоение программы'!C25))=0," ",'3 Освоение программы'!C25)</f>
        <v>?? з.е.</v>
      </c>
      <c r="R39" s="180"/>
      <c r="S39" s="180"/>
      <c r="T39" s="180"/>
      <c r="U39" s="180"/>
      <c r="V39" s="180" t="str">
        <f>IF(LEN(TRIM('3 Освоение программы'!D25))=0," ",'3 Освоение программы'!D25)</f>
        <v>оценка</v>
      </c>
      <c r="W39" s="180"/>
      <c r="X39" s="180"/>
      <c r="Y39" s="180"/>
      <c r="Z39" s="180"/>
      <c r="AA39" s="180"/>
      <c r="AB39" s="90"/>
      <c r="AC39" s="90"/>
      <c r="AD39" s="90"/>
      <c r="AE39" s="181" t="str">
        <f>IF(LEN(TRIM('3 Освоение программы'!B93))=0," ",'3 Освоение программы'!B93)</f>
        <v>Повышение спортивного мастерства</v>
      </c>
      <c r="AF39" s="181"/>
      <c r="AG39" s="181"/>
      <c r="AH39" s="181"/>
      <c r="AI39" s="181"/>
      <c r="AJ39" s="181"/>
      <c r="AK39" s="181"/>
      <c r="AL39" s="181"/>
      <c r="AM39" s="181"/>
      <c r="AN39" s="181"/>
      <c r="AO39" s="181"/>
      <c r="AP39" s="181"/>
      <c r="AQ39" s="181"/>
      <c r="AR39" s="183" t="str">
        <f>IF(LEN(TRIM('3 Освоение программы'!C93))=0," ",'3 Освоение программы'!C93)</f>
        <v>?? з.е.</v>
      </c>
      <c r="AS39" s="183"/>
      <c r="AT39" s="183"/>
      <c r="AU39" s="183"/>
      <c r="AV39" s="183" t="str">
        <f>IF(LEN(TRIM('3 Освоение программы'!D93))=0," ",'3 Освоение программы'!D93)</f>
        <v>оценка</v>
      </c>
      <c r="AW39" s="183"/>
      <c r="AX39" s="183"/>
      <c r="AY39" s="183"/>
      <c r="AZ39" s="183"/>
      <c r="BA39" s="27"/>
    </row>
    <row r="40" spans="1:53" ht="9.9499999999999993" customHeight="1" x14ac:dyDescent="0.25">
      <c r="A40" s="91"/>
      <c r="B40" s="179" t="str">
        <f>IF(LEN(TRIM('3 Освоение программы'!B26))=0," ",'3 Освоение программы'!B26)</f>
        <v>Дисциплина 25</v>
      </c>
      <c r="C40" s="179"/>
      <c r="D40" s="179"/>
      <c r="E40" s="179"/>
      <c r="F40" s="179"/>
      <c r="G40" s="179"/>
      <c r="H40" s="179"/>
      <c r="I40" s="179"/>
      <c r="J40" s="179"/>
      <c r="K40" s="179"/>
      <c r="L40" s="179"/>
      <c r="M40" s="179"/>
      <c r="N40" s="179"/>
      <c r="O40" s="179"/>
      <c r="P40" s="179"/>
      <c r="Q40" s="180" t="str">
        <f>IF(LEN(TRIM('3 Освоение программы'!C26))=0," ",'3 Освоение программы'!C26)</f>
        <v>?? з.е.</v>
      </c>
      <c r="R40" s="180"/>
      <c r="S40" s="180"/>
      <c r="T40" s="180"/>
      <c r="U40" s="180"/>
      <c r="V40" s="180" t="str">
        <f>IF(LEN(TRIM('3 Освоение программы'!D26))=0," ",'3 Освоение программы'!D26)</f>
        <v>оценка</v>
      </c>
      <c r="W40" s="180"/>
      <c r="X40" s="180"/>
      <c r="Y40" s="180"/>
      <c r="Z40" s="180"/>
      <c r="AA40" s="180"/>
      <c r="AB40" s="90"/>
      <c r="AC40" s="90"/>
      <c r="AD40" s="90"/>
      <c r="AE40" s="181" t="str">
        <f>IF(LEN(TRIM('3 Освоение программы'!B94))=0," ",'3 Освоение программы'!B94)</f>
        <v xml:space="preserve"> </v>
      </c>
      <c r="AF40" s="181"/>
      <c r="AG40" s="181"/>
      <c r="AH40" s="181"/>
      <c r="AI40" s="181"/>
      <c r="AJ40" s="181"/>
      <c r="AK40" s="181"/>
      <c r="AL40" s="181"/>
      <c r="AM40" s="181"/>
      <c r="AN40" s="181"/>
      <c r="AO40" s="181"/>
      <c r="AP40" s="181"/>
      <c r="AQ40" s="181"/>
      <c r="AR40" s="183" t="str">
        <f>IF(LEN(TRIM('3 Освоение программы'!C94))=0," ",'3 Освоение программы'!C94)</f>
        <v xml:space="preserve"> </v>
      </c>
      <c r="AS40" s="183"/>
      <c r="AT40" s="183"/>
      <c r="AU40" s="183"/>
      <c r="AV40" s="183" t="str">
        <f>IF(LEN(TRIM('3 Освоение программы'!D94))=0," ",'3 Освоение программы'!D94)</f>
        <v xml:space="preserve"> </v>
      </c>
      <c r="AW40" s="183"/>
      <c r="AX40" s="183"/>
      <c r="AY40" s="183"/>
      <c r="AZ40" s="183"/>
      <c r="BA40" s="27"/>
    </row>
    <row r="41" spans="1:53" ht="9.9499999999999993" customHeight="1" x14ac:dyDescent="0.25">
      <c r="A41" s="91"/>
      <c r="B41" s="179" t="str">
        <f>IF(LEN(TRIM('3 Освоение программы'!B27))=0," ",'3 Освоение программы'!B27)</f>
        <v>Дисциплина 26</v>
      </c>
      <c r="C41" s="179"/>
      <c r="D41" s="179"/>
      <c r="E41" s="179"/>
      <c r="F41" s="179"/>
      <c r="G41" s="179"/>
      <c r="H41" s="179"/>
      <c r="I41" s="179"/>
      <c r="J41" s="179"/>
      <c r="K41" s="179"/>
      <c r="L41" s="179"/>
      <c r="M41" s="179"/>
      <c r="N41" s="179"/>
      <c r="O41" s="179"/>
      <c r="P41" s="179"/>
      <c r="Q41" s="180" t="str">
        <f>IF(LEN(TRIM('3 Освоение программы'!C27))=0," ",'3 Освоение программы'!C27)</f>
        <v>?? з.е.</v>
      </c>
      <c r="R41" s="180"/>
      <c r="S41" s="180"/>
      <c r="T41" s="180"/>
      <c r="U41" s="180"/>
      <c r="V41" s="180" t="str">
        <f>IF(LEN(TRIM('3 Освоение программы'!D27))=0," ",'3 Освоение программы'!D27)</f>
        <v>оценка</v>
      </c>
      <c r="W41" s="180"/>
      <c r="X41" s="180"/>
      <c r="Y41" s="180"/>
      <c r="Z41" s="180"/>
      <c r="AA41" s="180"/>
      <c r="AB41" s="90"/>
      <c r="AC41" s="90"/>
      <c r="AD41" s="90"/>
      <c r="AE41" s="181" t="str">
        <f>IF(LEN(TRIM('3 Освоение программы'!B95))=0," ",'3 Освоение программы'!B95)</f>
        <v xml:space="preserve"> </v>
      </c>
      <c r="AF41" s="181"/>
      <c r="AG41" s="181"/>
      <c r="AH41" s="181"/>
      <c r="AI41" s="181"/>
      <c r="AJ41" s="181"/>
      <c r="AK41" s="181"/>
      <c r="AL41" s="181"/>
      <c r="AM41" s="181"/>
      <c r="AN41" s="181"/>
      <c r="AO41" s="181"/>
      <c r="AP41" s="181"/>
      <c r="AQ41" s="181"/>
      <c r="AR41" s="183" t="str">
        <f>IF(LEN(TRIM('3 Освоение программы'!C95))=0," ",'3 Освоение программы'!C95)</f>
        <v xml:space="preserve"> </v>
      </c>
      <c r="AS41" s="183"/>
      <c r="AT41" s="183"/>
      <c r="AU41" s="183"/>
      <c r="AV41" s="183" t="str">
        <f>IF(LEN(TRIM('3 Освоение программы'!D95))=0," ",'3 Освоение программы'!D95)</f>
        <v xml:space="preserve"> </v>
      </c>
      <c r="AW41" s="183"/>
      <c r="AX41" s="183"/>
      <c r="AY41" s="183"/>
      <c r="AZ41" s="183"/>
      <c r="BA41" s="27"/>
    </row>
    <row r="42" spans="1:53" ht="9.9499999999999993" customHeight="1" x14ac:dyDescent="0.25">
      <c r="A42" s="91"/>
      <c r="B42" s="179" t="str">
        <f>IF(LEN(TRIM('3 Освоение программы'!B28))=0," ",'3 Освоение программы'!B28)</f>
        <v>Дисциплина 27</v>
      </c>
      <c r="C42" s="179"/>
      <c r="D42" s="179"/>
      <c r="E42" s="179"/>
      <c r="F42" s="179"/>
      <c r="G42" s="179"/>
      <c r="H42" s="179"/>
      <c r="I42" s="179"/>
      <c r="J42" s="179"/>
      <c r="K42" s="179"/>
      <c r="L42" s="179"/>
      <c r="M42" s="179"/>
      <c r="N42" s="179"/>
      <c r="O42" s="179"/>
      <c r="P42" s="179"/>
      <c r="Q42" s="180" t="str">
        <f>IF(LEN(TRIM('3 Освоение программы'!C28))=0," ",'3 Освоение программы'!C28)</f>
        <v>?? з.е.</v>
      </c>
      <c r="R42" s="180"/>
      <c r="S42" s="180"/>
      <c r="T42" s="180"/>
      <c r="U42" s="180"/>
      <c r="V42" s="180" t="str">
        <f>IF(LEN(TRIM('3 Освоение программы'!D28))=0," ",'3 Освоение программы'!D28)</f>
        <v>оценка</v>
      </c>
      <c r="W42" s="180"/>
      <c r="X42" s="180"/>
      <c r="Y42" s="180"/>
      <c r="Z42" s="180"/>
      <c r="AA42" s="180"/>
      <c r="AB42" s="90"/>
      <c r="AC42" s="90"/>
      <c r="AD42" s="90"/>
      <c r="AE42" s="181" t="str">
        <f>IF(LEN(TRIM('3 Освоение программы'!B96))=0," ",'3 Освоение программы'!B96)</f>
        <v xml:space="preserve"> </v>
      </c>
      <c r="AF42" s="181"/>
      <c r="AG42" s="181"/>
      <c r="AH42" s="181"/>
      <c r="AI42" s="181"/>
      <c r="AJ42" s="181"/>
      <c r="AK42" s="181"/>
      <c r="AL42" s="181"/>
      <c r="AM42" s="181"/>
      <c r="AN42" s="181"/>
      <c r="AO42" s="181"/>
      <c r="AP42" s="181"/>
      <c r="AQ42" s="181"/>
      <c r="AR42" s="183" t="str">
        <f>IF(LEN(TRIM('3 Освоение программы'!C96))=0," ",'3 Освоение программы'!C96)</f>
        <v xml:space="preserve"> </v>
      </c>
      <c r="AS42" s="183"/>
      <c r="AT42" s="183"/>
      <c r="AU42" s="183"/>
      <c r="AV42" s="183" t="str">
        <f>IF(LEN(TRIM('3 Освоение программы'!D96))=0," ",'3 Освоение программы'!D96)</f>
        <v xml:space="preserve"> </v>
      </c>
      <c r="AW42" s="183"/>
      <c r="AX42" s="183"/>
      <c r="AY42" s="183"/>
      <c r="AZ42" s="183"/>
      <c r="BA42" s="27"/>
    </row>
    <row r="43" spans="1:53" ht="9.9499999999999993" customHeight="1" x14ac:dyDescent="0.25">
      <c r="A43" s="91"/>
      <c r="B43" s="179" t="str">
        <f>IF(LEN(TRIM('3 Освоение программы'!B29))=0," ",'3 Освоение программы'!B29)</f>
        <v>Дисциплина 28</v>
      </c>
      <c r="C43" s="179"/>
      <c r="D43" s="179"/>
      <c r="E43" s="179"/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79"/>
      <c r="Q43" s="180" t="str">
        <f>IF(LEN(TRIM('3 Освоение программы'!C29))=0," ",'3 Освоение программы'!C29)</f>
        <v>?? з.е.</v>
      </c>
      <c r="R43" s="180"/>
      <c r="S43" s="180"/>
      <c r="T43" s="180"/>
      <c r="U43" s="180"/>
      <c r="V43" s="180" t="str">
        <f>IF(LEN(TRIM('3 Освоение программы'!D29))=0," ",'3 Освоение программы'!D29)</f>
        <v>оценка</v>
      </c>
      <c r="W43" s="180"/>
      <c r="X43" s="180"/>
      <c r="Y43" s="180"/>
      <c r="Z43" s="180"/>
      <c r="AA43" s="180"/>
      <c r="AB43" s="90"/>
      <c r="AC43" s="90"/>
      <c r="AD43" s="90"/>
      <c r="AE43" s="181" t="str">
        <f>IF(LEN(TRIM('3 Освоение программы'!B97))=0," ",'3 Освоение программы'!B97)</f>
        <v xml:space="preserve"> </v>
      </c>
      <c r="AF43" s="181"/>
      <c r="AG43" s="181"/>
      <c r="AH43" s="181"/>
      <c r="AI43" s="181"/>
      <c r="AJ43" s="181"/>
      <c r="AK43" s="181"/>
      <c r="AL43" s="181"/>
      <c r="AM43" s="181"/>
      <c r="AN43" s="181"/>
      <c r="AO43" s="181"/>
      <c r="AP43" s="181"/>
      <c r="AQ43" s="181"/>
      <c r="AR43" s="183" t="str">
        <f>IF(LEN(TRIM('3 Освоение программы'!C97))=0," ",'3 Освоение программы'!C97)</f>
        <v xml:space="preserve"> </v>
      </c>
      <c r="AS43" s="183"/>
      <c r="AT43" s="183"/>
      <c r="AU43" s="183"/>
      <c r="AV43" s="183" t="str">
        <f>IF(LEN(TRIM('3 Освоение программы'!D97))=0," ",'3 Освоение программы'!D97)</f>
        <v xml:space="preserve"> </v>
      </c>
      <c r="AW43" s="183"/>
      <c r="AX43" s="183"/>
      <c r="AY43" s="183"/>
      <c r="AZ43" s="183"/>
      <c r="BA43" s="27"/>
    </row>
    <row r="44" spans="1:53" ht="9.9499999999999993" customHeight="1" x14ac:dyDescent="0.25">
      <c r="A44" s="91"/>
      <c r="B44" s="179" t="str">
        <f>IF(LEN(TRIM('3 Освоение программы'!B30))=0," ",'3 Освоение программы'!B30)</f>
        <v>Дисциплина 29</v>
      </c>
      <c r="C44" s="179"/>
      <c r="D44" s="179"/>
      <c r="E44" s="179"/>
      <c r="F44" s="179"/>
      <c r="G44" s="179"/>
      <c r="H44" s="179"/>
      <c r="I44" s="179"/>
      <c r="J44" s="179"/>
      <c r="K44" s="179"/>
      <c r="L44" s="179"/>
      <c r="M44" s="179"/>
      <c r="N44" s="179"/>
      <c r="O44" s="179"/>
      <c r="P44" s="179"/>
      <c r="Q44" s="180" t="str">
        <f>IF(LEN(TRIM('3 Освоение программы'!C30))=0," ",'3 Освоение программы'!C30)</f>
        <v>?? з.е.</v>
      </c>
      <c r="R44" s="180"/>
      <c r="S44" s="180"/>
      <c r="T44" s="180"/>
      <c r="U44" s="180"/>
      <c r="V44" s="180" t="str">
        <f>IF(LEN(TRIM('3 Освоение программы'!D30))=0," ",'3 Освоение программы'!D30)</f>
        <v>оценка</v>
      </c>
      <c r="W44" s="180"/>
      <c r="X44" s="180"/>
      <c r="Y44" s="180"/>
      <c r="Z44" s="180"/>
      <c r="AA44" s="180"/>
      <c r="AB44" s="90"/>
      <c r="AC44" s="90"/>
      <c r="AD44" s="90"/>
      <c r="AE44" s="181" t="str">
        <f>IF(LEN(TRIM('3 Освоение программы'!B98))=0," ",'3 Освоение программы'!B98)</f>
        <v xml:space="preserve"> </v>
      </c>
      <c r="AF44" s="181"/>
      <c r="AG44" s="181"/>
      <c r="AH44" s="181"/>
      <c r="AI44" s="181"/>
      <c r="AJ44" s="181"/>
      <c r="AK44" s="181"/>
      <c r="AL44" s="181"/>
      <c r="AM44" s="181"/>
      <c r="AN44" s="181"/>
      <c r="AO44" s="181"/>
      <c r="AP44" s="181"/>
      <c r="AQ44" s="181"/>
      <c r="AR44" s="183" t="str">
        <f>IF(LEN(TRIM('3 Освоение программы'!C98))=0," ",'3 Освоение программы'!C98)</f>
        <v xml:space="preserve"> </v>
      </c>
      <c r="AS44" s="183"/>
      <c r="AT44" s="183"/>
      <c r="AU44" s="183"/>
      <c r="AV44" s="183" t="str">
        <f>IF(LEN(TRIM('3 Освоение программы'!D98))=0," ",'3 Освоение программы'!D98)</f>
        <v xml:space="preserve"> </v>
      </c>
      <c r="AW44" s="183"/>
      <c r="AX44" s="183"/>
      <c r="AY44" s="183"/>
      <c r="AZ44" s="183"/>
      <c r="BA44" s="27"/>
    </row>
    <row r="45" spans="1:53" ht="9.9499999999999993" customHeight="1" x14ac:dyDescent="0.25">
      <c r="A45" s="91"/>
      <c r="B45" s="179" t="str">
        <f>IF(LEN(TRIM('3 Освоение программы'!B31))=0," ",'3 Освоение программы'!B31)</f>
        <v>Дисциплина 30</v>
      </c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80" t="str">
        <f>IF(LEN(TRIM('3 Освоение программы'!C31))=0," ",'3 Освоение программы'!C31)</f>
        <v>?? з.е.</v>
      </c>
      <c r="R45" s="180"/>
      <c r="S45" s="180"/>
      <c r="T45" s="180"/>
      <c r="U45" s="180"/>
      <c r="V45" s="180" t="str">
        <f>IF(LEN(TRIM('3 Освоение программы'!D31))=0," ",'3 Освоение программы'!D31)</f>
        <v>оценка</v>
      </c>
      <c r="W45" s="180"/>
      <c r="X45" s="180"/>
      <c r="Y45" s="180"/>
      <c r="Z45" s="180"/>
      <c r="AA45" s="180"/>
      <c r="AB45" s="90"/>
      <c r="AC45" s="90"/>
      <c r="AD45" s="90"/>
      <c r="AE45" s="181" t="str">
        <f>IF(LEN(TRIM('3 Освоение программы'!B99))=0," ",'3 Освоение программы'!B99)</f>
        <v xml:space="preserve"> </v>
      </c>
      <c r="AF45" s="181"/>
      <c r="AG45" s="181"/>
      <c r="AH45" s="181"/>
      <c r="AI45" s="181"/>
      <c r="AJ45" s="181"/>
      <c r="AK45" s="181"/>
      <c r="AL45" s="181"/>
      <c r="AM45" s="181"/>
      <c r="AN45" s="181"/>
      <c r="AO45" s="181"/>
      <c r="AP45" s="181"/>
      <c r="AQ45" s="181"/>
      <c r="AR45" s="183" t="str">
        <f>IF(LEN(TRIM('3 Освоение программы'!C99))=0," ",'3 Освоение программы'!C99)</f>
        <v xml:space="preserve"> </v>
      </c>
      <c r="AS45" s="183"/>
      <c r="AT45" s="183"/>
      <c r="AU45" s="183"/>
      <c r="AV45" s="183" t="str">
        <f>IF(LEN(TRIM('3 Освоение программы'!D99))=0," ",'3 Освоение программы'!D99)</f>
        <v xml:space="preserve"> </v>
      </c>
      <c r="AW45" s="183"/>
      <c r="AX45" s="183"/>
      <c r="AY45" s="183"/>
      <c r="AZ45" s="183"/>
      <c r="BA45" s="27"/>
    </row>
    <row r="46" spans="1:53" ht="9.9499999999999993" customHeight="1" x14ac:dyDescent="0.25">
      <c r="A46" s="91"/>
      <c r="B46" s="179" t="str">
        <f>IF(LEN(TRIM('3 Освоение программы'!B32))=0," ",'3 Освоение программы'!B32)</f>
        <v>Дисциплина 31</v>
      </c>
      <c r="C46" s="179"/>
      <c r="D46" s="179"/>
      <c r="E46" s="179"/>
      <c r="F46" s="179"/>
      <c r="G46" s="179"/>
      <c r="H46" s="179"/>
      <c r="I46" s="179"/>
      <c r="J46" s="179"/>
      <c r="K46" s="179"/>
      <c r="L46" s="179"/>
      <c r="M46" s="179"/>
      <c r="N46" s="179"/>
      <c r="O46" s="179"/>
      <c r="P46" s="179"/>
      <c r="Q46" s="180" t="str">
        <f>IF(LEN(TRIM('3 Освоение программы'!C32))=0," ",'3 Освоение программы'!C32)</f>
        <v>?? з.е.</v>
      </c>
      <c r="R46" s="180"/>
      <c r="S46" s="180"/>
      <c r="T46" s="180"/>
      <c r="U46" s="180"/>
      <c r="V46" s="180" t="str">
        <f>IF(LEN(TRIM('3 Освоение программы'!D32))=0," ",'3 Освоение программы'!D32)</f>
        <v>оценка</v>
      </c>
      <c r="W46" s="180"/>
      <c r="X46" s="180"/>
      <c r="Y46" s="180"/>
      <c r="Z46" s="180"/>
      <c r="AA46" s="180"/>
      <c r="AB46" s="90"/>
      <c r="AC46" s="90"/>
      <c r="AD46" s="90"/>
      <c r="AE46" s="181" t="str">
        <f>IF(LEN(TRIM('3 Освоение программы'!B100))=0," ",'3 Освоение программы'!B100)</f>
        <v xml:space="preserve"> </v>
      </c>
      <c r="AF46" s="181"/>
      <c r="AG46" s="181"/>
      <c r="AH46" s="181"/>
      <c r="AI46" s="181"/>
      <c r="AJ46" s="181"/>
      <c r="AK46" s="181"/>
      <c r="AL46" s="181"/>
      <c r="AM46" s="181"/>
      <c r="AN46" s="181"/>
      <c r="AO46" s="181"/>
      <c r="AP46" s="181"/>
      <c r="AQ46" s="181"/>
      <c r="AR46" s="183" t="str">
        <f>IF(LEN(TRIM('3 Освоение программы'!C100))=0," ",'3 Освоение программы'!C100)</f>
        <v xml:space="preserve"> </v>
      </c>
      <c r="AS46" s="183"/>
      <c r="AT46" s="183"/>
      <c r="AU46" s="183"/>
      <c r="AV46" s="183" t="str">
        <f>IF(LEN(TRIM('3 Освоение программы'!D100))=0," ",'3 Освоение программы'!D100)</f>
        <v xml:space="preserve"> </v>
      </c>
      <c r="AW46" s="183"/>
      <c r="AX46" s="183"/>
      <c r="AY46" s="183"/>
      <c r="AZ46" s="183"/>
      <c r="BA46" s="27"/>
    </row>
    <row r="47" spans="1:53" ht="9.9499999999999993" customHeight="1" x14ac:dyDescent="0.25">
      <c r="A47" s="91"/>
      <c r="B47" s="179" t="str">
        <f>IF(LEN(TRIM('3 Освоение программы'!B33))=0," ",'3 Освоение программы'!B33)</f>
        <v>Дисциплина 32</v>
      </c>
      <c r="C47" s="179"/>
      <c r="D47" s="179"/>
      <c r="E47" s="179"/>
      <c r="F47" s="179"/>
      <c r="G47" s="179"/>
      <c r="H47" s="179"/>
      <c r="I47" s="179"/>
      <c r="J47" s="179"/>
      <c r="K47" s="179"/>
      <c r="L47" s="179"/>
      <c r="M47" s="179"/>
      <c r="N47" s="179"/>
      <c r="O47" s="179"/>
      <c r="P47" s="179"/>
      <c r="Q47" s="180" t="str">
        <f>IF(LEN(TRIM('3 Освоение программы'!C33))=0," ",'3 Освоение программы'!C33)</f>
        <v>?? з.е.</v>
      </c>
      <c r="R47" s="180"/>
      <c r="S47" s="180"/>
      <c r="T47" s="180"/>
      <c r="U47" s="180"/>
      <c r="V47" s="180" t="str">
        <f>IF(LEN(TRIM('3 Освоение программы'!D33))=0," ",'3 Освоение программы'!D33)</f>
        <v>оценка</v>
      </c>
      <c r="W47" s="180"/>
      <c r="X47" s="180"/>
      <c r="Y47" s="180"/>
      <c r="Z47" s="180"/>
      <c r="AA47" s="180"/>
      <c r="AB47" s="90"/>
      <c r="AC47" s="90"/>
      <c r="AD47" s="90"/>
      <c r="AE47" s="181" t="str">
        <f>IF(LEN(TRIM('3 Освоение программы'!B101))=0," ",'3 Освоение программы'!B101)</f>
        <v xml:space="preserve"> </v>
      </c>
      <c r="AF47" s="181"/>
      <c r="AG47" s="181"/>
      <c r="AH47" s="181"/>
      <c r="AI47" s="181"/>
      <c r="AJ47" s="181"/>
      <c r="AK47" s="181"/>
      <c r="AL47" s="181"/>
      <c r="AM47" s="181"/>
      <c r="AN47" s="181"/>
      <c r="AO47" s="181"/>
      <c r="AP47" s="181"/>
      <c r="AQ47" s="181"/>
      <c r="AR47" s="183" t="str">
        <f>IF(LEN(TRIM('3 Освоение программы'!C101))=0," ",'3 Освоение программы'!C101)</f>
        <v xml:space="preserve"> </v>
      </c>
      <c r="AS47" s="183"/>
      <c r="AT47" s="183"/>
      <c r="AU47" s="183"/>
      <c r="AV47" s="183" t="str">
        <f>IF(LEN(TRIM('3 Освоение программы'!D101))=0," ",'3 Освоение программы'!D101)</f>
        <v xml:space="preserve"> </v>
      </c>
      <c r="AW47" s="183"/>
      <c r="AX47" s="183"/>
      <c r="AY47" s="183"/>
      <c r="AZ47" s="183"/>
      <c r="BA47" s="27"/>
    </row>
    <row r="48" spans="1:53" ht="9.9499999999999993" customHeight="1" x14ac:dyDescent="0.25">
      <c r="A48" s="91"/>
      <c r="B48" s="179" t="str">
        <f>IF(LEN(TRIM('3 Освоение программы'!B34))=0," ",'3 Освоение программы'!B34)</f>
        <v>Дисциплина 33</v>
      </c>
      <c r="C48" s="179"/>
      <c r="D48" s="179"/>
      <c r="E48" s="179"/>
      <c r="F48" s="179"/>
      <c r="G48" s="179"/>
      <c r="H48" s="179"/>
      <c r="I48" s="179"/>
      <c r="J48" s="179"/>
      <c r="K48" s="179"/>
      <c r="L48" s="179"/>
      <c r="M48" s="179"/>
      <c r="N48" s="179"/>
      <c r="O48" s="179"/>
      <c r="P48" s="179"/>
      <c r="Q48" s="180" t="str">
        <f>IF(LEN(TRIM('3 Освоение программы'!C34))=0," ",'3 Освоение программы'!C34)</f>
        <v>?? з.е.</v>
      </c>
      <c r="R48" s="180"/>
      <c r="S48" s="180"/>
      <c r="T48" s="180"/>
      <c r="U48" s="180"/>
      <c r="V48" s="180" t="str">
        <f>IF(LEN(TRIM('3 Освоение программы'!D34))=0," ",'3 Освоение программы'!D34)</f>
        <v>оценка</v>
      </c>
      <c r="W48" s="180"/>
      <c r="X48" s="180"/>
      <c r="Y48" s="180"/>
      <c r="Z48" s="180"/>
      <c r="AA48" s="180"/>
      <c r="AB48" s="90"/>
      <c r="AC48" s="90"/>
      <c r="AD48" s="90"/>
      <c r="AE48" s="181" t="str">
        <f>IF(LEN(TRIM('3 Освоение программы'!B102))=0," ",'3 Освоение программы'!B102)</f>
        <v xml:space="preserve"> </v>
      </c>
      <c r="AF48" s="181"/>
      <c r="AG48" s="181"/>
      <c r="AH48" s="181"/>
      <c r="AI48" s="181"/>
      <c r="AJ48" s="181"/>
      <c r="AK48" s="181"/>
      <c r="AL48" s="181"/>
      <c r="AM48" s="181"/>
      <c r="AN48" s="181"/>
      <c r="AO48" s="181"/>
      <c r="AP48" s="181"/>
      <c r="AQ48" s="181"/>
      <c r="AR48" s="183" t="str">
        <f>IF(LEN(TRIM('3 Освоение программы'!C102))=0," ",'3 Освоение программы'!C102)</f>
        <v xml:space="preserve"> </v>
      </c>
      <c r="AS48" s="183"/>
      <c r="AT48" s="183"/>
      <c r="AU48" s="183"/>
      <c r="AV48" s="183" t="str">
        <f>IF(LEN(TRIM('3 Освоение программы'!D102))=0," ",'3 Освоение программы'!D102)</f>
        <v xml:space="preserve"> </v>
      </c>
      <c r="AW48" s="183"/>
      <c r="AX48" s="183"/>
      <c r="AY48" s="183"/>
      <c r="AZ48" s="183"/>
      <c r="BA48" s="27"/>
    </row>
    <row r="49" spans="1:53" ht="9.9499999999999993" customHeight="1" x14ac:dyDescent="0.25">
      <c r="A49" s="91"/>
      <c r="B49" s="179" t="str">
        <f>IF(LEN(TRIM('3 Освоение программы'!B35))=0," ",'3 Освоение программы'!B35)</f>
        <v>Дисциплина 34</v>
      </c>
      <c r="C49" s="179"/>
      <c r="D49" s="179"/>
      <c r="E49" s="179"/>
      <c r="F49" s="179"/>
      <c r="G49" s="179"/>
      <c r="H49" s="179"/>
      <c r="I49" s="179"/>
      <c r="J49" s="179"/>
      <c r="K49" s="179"/>
      <c r="L49" s="179"/>
      <c r="M49" s="179"/>
      <c r="N49" s="179"/>
      <c r="O49" s="179"/>
      <c r="P49" s="179"/>
      <c r="Q49" s="180" t="str">
        <f>IF(LEN(TRIM('3 Освоение программы'!C35))=0," ",'3 Освоение программы'!C35)</f>
        <v>?? з.е.</v>
      </c>
      <c r="R49" s="180"/>
      <c r="S49" s="180"/>
      <c r="T49" s="180"/>
      <c r="U49" s="180"/>
      <c r="V49" s="180" t="str">
        <f>IF(LEN(TRIM('3 Освоение программы'!D35))=0," ",'3 Освоение программы'!D35)</f>
        <v>оценка</v>
      </c>
      <c r="W49" s="180"/>
      <c r="X49" s="180"/>
      <c r="Y49" s="180"/>
      <c r="Z49" s="180"/>
      <c r="AA49" s="180"/>
      <c r="AB49" s="90"/>
      <c r="AC49" s="90"/>
      <c r="AD49" s="90"/>
      <c r="AE49" s="181" t="str">
        <f>IF(LEN(TRIM('3 Освоение программы'!B103))=0," ",'3 Освоение программы'!B103)</f>
        <v xml:space="preserve"> </v>
      </c>
      <c r="AF49" s="181"/>
      <c r="AG49" s="181"/>
      <c r="AH49" s="181"/>
      <c r="AI49" s="181"/>
      <c r="AJ49" s="181"/>
      <c r="AK49" s="181"/>
      <c r="AL49" s="181"/>
      <c r="AM49" s="181"/>
      <c r="AN49" s="181"/>
      <c r="AO49" s="181"/>
      <c r="AP49" s="181"/>
      <c r="AQ49" s="181"/>
      <c r="AR49" s="183" t="str">
        <f>IF(LEN(TRIM('3 Освоение программы'!C103))=0," ",'3 Освоение программы'!C103)</f>
        <v xml:space="preserve"> </v>
      </c>
      <c r="AS49" s="183"/>
      <c r="AT49" s="183"/>
      <c r="AU49" s="183"/>
      <c r="AV49" s="183" t="str">
        <f>IF(LEN(TRIM('3 Освоение программы'!D103))=0," ",'3 Освоение программы'!D103)</f>
        <v xml:space="preserve"> </v>
      </c>
      <c r="AW49" s="183"/>
      <c r="AX49" s="183"/>
      <c r="AY49" s="183"/>
      <c r="AZ49" s="183"/>
      <c r="BA49" s="27"/>
    </row>
    <row r="50" spans="1:53" ht="9.9499999999999993" customHeight="1" x14ac:dyDescent="0.25">
      <c r="A50" s="91"/>
      <c r="B50" s="179" t="str">
        <f>IF(LEN(TRIM('3 Освоение программы'!B36))=0," ",'3 Освоение программы'!B36)</f>
        <v>Дисциплина 35</v>
      </c>
      <c r="C50" s="179"/>
      <c r="D50" s="179"/>
      <c r="E50" s="179"/>
      <c r="F50" s="179"/>
      <c r="G50" s="179"/>
      <c r="H50" s="179"/>
      <c r="I50" s="179"/>
      <c r="J50" s="179"/>
      <c r="K50" s="179"/>
      <c r="L50" s="179"/>
      <c r="M50" s="179"/>
      <c r="N50" s="179"/>
      <c r="O50" s="179"/>
      <c r="P50" s="179"/>
      <c r="Q50" s="180" t="str">
        <f>IF(LEN(TRIM('3 Освоение программы'!C36))=0," ",'3 Освоение программы'!C36)</f>
        <v>?? з.е.</v>
      </c>
      <c r="R50" s="180"/>
      <c r="S50" s="180"/>
      <c r="T50" s="180"/>
      <c r="U50" s="180"/>
      <c r="V50" s="180" t="str">
        <f>IF(LEN(TRIM('3 Освоение программы'!D36))=0," ",'3 Освоение программы'!D36)</f>
        <v>оценка</v>
      </c>
      <c r="W50" s="180"/>
      <c r="X50" s="180"/>
      <c r="Y50" s="180"/>
      <c r="Z50" s="180"/>
      <c r="AA50" s="180"/>
      <c r="AB50" s="90"/>
      <c r="AC50" s="90"/>
      <c r="AD50" s="90"/>
      <c r="AE50" s="181" t="str">
        <f>IF(LEN(TRIM('3 Освоение программы'!B104))=0," ",'3 Освоение программы'!B104)</f>
        <v xml:space="preserve"> </v>
      </c>
      <c r="AF50" s="181"/>
      <c r="AG50" s="181"/>
      <c r="AH50" s="181"/>
      <c r="AI50" s="181"/>
      <c r="AJ50" s="181"/>
      <c r="AK50" s="181"/>
      <c r="AL50" s="181"/>
      <c r="AM50" s="181"/>
      <c r="AN50" s="181"/>
      <c r="AO50" s="181"/>
      <c r="AP50" s="181"/>
      <c r="AQ50" s="181"/>
      <c r="AR50" s="183" t="str">
        <f>IF(LEN(TRIM('3 Освоение программы'!C104))=0," ",'3 Освоение программы'!C104)</f>
        <v xml:space="preserve"> </v>
      </c>
      <c r="AS50" s="183"/>
      <c r="AT50" s="183"/>
      <c r="AU50" s="183"/>
      <c r="AV50" s="183" t="str">
        <f>IF(LEN(TRIM('3 Освоение программы'!D104))=0," ",'3 Освоение программы'!D104)</f>
        <v xml:space="preserve"> </v>
      </c>
      <c r="AW50" s="183"/>
      <c r="AX50" s="183"/>
      <c r="AY50" s="183"/>
      <c r="AZ50" s="183"/>
      <c r="BA50" s="27"/>
    </row>
    <row r="51" spans="1:53" ht="9.9499999999999993" customHeight="1" x14ac:dyDescent="0.25">
      <c r="A51" s="91"/>
      <c r="B51" s="179" t="str">
        <f>IF(LEN(TRIM('3 Освоение программы'!B37))=0," ",'3 Освоение программы'!B37)</f>
        <v>Дисциплина 36</v>
      </c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80" t="str">
        <f>IF(LEN(TRIM('3 Освоение программы'!C37))=0," ",'3 Освоение программы'!C37)</f>
        <v>?? з.е.</v>
      </c>
      <c r="R51" s="180"/>
      <c r="S51" s="180"/>
      <c r="T51" s="180"/>
      <c r="U51" s="180"/>
      <c r="V51" s="180" t="str">
        <f>IF(LEN(TRIM('3 Освоение программы'!D37))=0," ",'3 Освоение программы'!D37)</f>
        <v>оценка</v>
      </c>
      <c r="W51" s="180"/>
      <c r="X51" s="180"/>
      <c r="Y51" s="180"/>
      <c r="Z51" s="180"/>
      <c r="AA51" s="180"/>
      <c r="AB51" s="90"/>
      <c r="AC51" s="90"/>
      <c r="AD51" s="90"/>
      <c r="AE51" s="181" t="str">
        <f>IF(LEN(TRIM('3 Освоение программы'!B105))=0," ",'3 Освоение программы'!B105)</f>
        <v xml:space="preserve"> </v>
      </c>
      <c r="AF51" s="181"/>
      <c r="AG51" s="181"/>
      <c r="AH51" s="181"/>
      <c r="AI51" s="181"/>
      <c r="AJ51" s="181"/>
      <c r="AK51" s="181"/>
      <c r="AL51" s="181"/>
      <c r="AM51" s="181"/>
      <c r="AN51" s="181"/>
      <c r="AO51" s="181"/>
      <c r="AP51" s="181"/>
      <c r="AQ51" s="181"/>
      <c r="AR51" s="183" t="str">
        <f>IF(LEN(TRIM('3 Освоение программы'!C105))=0," ",'3 Освоение программы'!C105)</f>
        <v xml:space="preserve"> </v>
      </c>
      <c r="AS51" s="183"/>
      <c r="AT51" s="183"/>
      <c r="AU51" s="183"/>
      <c r="AV51" s="183" t="str">
        <f>IF(LEN(TRIM('3 Освоение программы'!D105))=0," ",'3 Освоение программы'!D105)</f>
        <v xml:space="preserve"> </v>
      </c>
      <c r="AW51" s="183"/>
      <c r="AX51" s="183"/>
      <c r="AY51" s="183"/>
      <c r="AZ51" s="183"/>
      <c r="BA51" s="27"/>
    </row>
    <row r="52" spans="1:53" ht="9.9499999999999993" customHeight="1" x14ac:dyDescent="0.25">
      <c r="A52" s="91"/>
      <c r="B52" s="179" t="str">
        <f>IF(LEN(TRIM('3 Освоение программы'!B38))=0," ",'3 Освоение программы'!B38)</f>
        <v>Дисциплина 37</v>
      </c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80" t="str">
        <f>IF(LEN(TRIM('3 Освоение программы'!C38))=0," ",'3 Освоение программы'!C38)</f>
        <v>?? з.е.</v>
      </c>
      <c r="R52" s="180"/>
      <c r="S52" s="180"/>
      <c r="T52" s="180"/>
      <c r="U52" s="180"/>
      <c r="V52" s="180" t="str">
        <f>IF(LEN(TRIM('3 Освоение программы'!D38))=0," ",'3 Освоение программы'!D38)</f>
        <v>оценка</v>
      </c>
      <c r="W52" s="180"/>
      <c r="X52" s="180"/>
      <c r="Y52" s="180"/>
      <c r="Z52" s="180"/>
      <c r="AA52" s="180"/>
      <c r="AB52" s="90"/>
      <c r="AC52" s="90"/>
      <c r="AD52" s="90"/>
      <c r="AE52" s="181" t="str">
        <f>IF(LEN(TRIM('3 Освоение программы'!B106))=0," ",'3 Освоение программы'!B106)</f>
        <v xml:space="preserve"> </v>
      </c>
      <c r="AF52" s="181"/>
      <c r="AG52" s="181"/>
      <c r="AH52" s="181"/>
      <c r="AI52" s="181"/>
      <c r="AJ52" s="181"/>
      <c r="AK52" s="181"/>
      <c r="AL52" s="181"/>
      <c r="AM52" s="181"/>
      <c r="AN52" s="181"/>
      <c r="AO52" s="181"/>
      <c r="AP52" s="181"/>
      <c r="AQ52" s="181"/>
      <c r="AR52" s="183" t="str">
        <f>IF(LEN(TRIM('3 Освоение программы'!C106))=0," ",'3 Освоение программы'!C106)</f>
        <v xml:space="preserve"> </v>
      </c>
      <c r="AS52" s="183"/>
      <c r="AT52" s="183"/>
      <c r="AU52" s="183"/>
      <c r="AV52" s="183" t="str">
        <f>IF(LEN(TRIM('3 Освоение программы'!D106))=0," ",'3 Освоение программы'!D106)</f>
        <v xml:space="preserve"> </v>
      </c>
      <c r="AW52" s="183"/>
      <c r="AX52" s="183"/>
      <c r="AY52" s="183"/>
      <c r="AZ52" s="183"/>
      <c r="BA52" s="27"/>
    </row>
    <row r="53" spans="1:53" ht="9.9499999999999993" customHeight="1" x14ac:dyDescent="0.25">
      <c r="A53" s="91"/>
      <c r="B53" s="179" t="str">
        <f>IF(LEN(TRIM('3 Освоение программы'!B39))=0," ",'3 Освоение программы'!B39)</f>
        <v>Дисциплина 38</v>
      </c>
      <c r="C53" s="179"/>
      <c r="D53" s="179"/>
      <c r="E53" s="179"/>
      <c r="F53" s="179"/>
      <c r="G53" s="179"/>
      <c r="H53" s="179"/>
      <c r="I53" s="179"/>
      <c r="J53" s="179"/>
      <c r="K53" s="179"/>
      <c r="L53" s="179"/>
      <c r="M53" s="179"/>
      <c r="N53" s="179"/>
      <c r="O53" s="179"/>
      <c r="P53" s="179"/>
      <c r="Q53" s="180" t="str">
        <f>IF(LEN(TRIM('3 Освоение программы'!C39))=0," ",'3 Освоение программы'!C39)</f>
        <v>?? з.е.</v>
      </c>
      <c r="R53" s="180"/>
      <c r="S53" s="180"/>
      <c r="T53" s="180"/>
      <c r="U53" s="180"/>
      <c r="V53" s="180" t="str">
        <f>IF(LEN(TRIM('3 Освоение программы'!D39))=0," ",'3 Освоение программы'!D39)</f>
        <v>оценка</v>
      </c>
      <c r="W53" s="180"/>
      <c r="X53" s="180"/>
      <c r="Y53" s="180"/>
      <c r="Z53" s="180"/>
      <c r="AA53" s="180"/>
      <c r="AB53" s="90"/>
      <c r="AC53" s="90"/>
      <c r="AD53" s="90"/>
      <c r="AE53" s="181" t="str">
        <f>IF(LEN(TRIM('3 Освоение программы'!B107))=0," ",'3 Освоение программы'!B107)</f>
        <v xml:space="preserve"> </v>
      </c>
      <c r="AF53" s="181"/>
      <c r="AG53" s="181"/>
      <c r="AH53" s="181"/>
      <c r="AI53" s="181"/>
      <c r="AJ53" s="181"/>
      <c r="AK53" s="181"/>
      <c r="AL53" s="181"/>
      <c r="AM53" s="181"/>
      <c r="AN53" s="181"/>
      <c r="AO53" s="181"/>
      <c r="AP53" s="181"/>
      <c r="AQ53" s="181"/>
      <c r="AR53" s="183" t="str">
        <f>IF(LEN(TRIM('3 Освоение программы'!C107))=0," ",'3 Освоение программы'!C107)</f>
        <v xml:space="preserve"> </v>
      </c>
      <c r="AS53" s="183"/>
      <c r="AT53" s="183"/>
      <c r="AU53" s="183"/>
      <c r="AV53" s="183" t="str">
        <f>IF(LEN(TRIM('3 Освоение программы'!D107))=0," ",'3 Освоение программы'!D107)</f>
        <v xml:space="preserve"> </v>
      </c>
      <c r="AW53" s="183"/>
      <c r="AX53" s="183"/>
      <c r="AY53" s="183"/>
      <c r="AZ53" s="183"/>
      <c r="BA53" s="27"/>
    </row>
    <row r="54" spans="1:53" ht="9.9499999999999993" customHeight="1" x14ac:dyDescent="0.25">
      <c r="A54" s="91"/>
      <c r="B54" s="179" t="str">
        <f>IF(LEN(TRIM('3 Освоение программы'!B40))=0," ",'3 Освоение программы'!B40)</f>
        <v>Дисциплина 39</v>
      </c>
      <c r="C54" s="179"/>
      <c r="D54" s="179"/>
      <c r="E54" s="179"/>
      <c r="F54" s="179"/>
      <c r="G54" s="179"/>
      <c r="H54" s="179"/>
      <c r="I54" s="179"/>
      <c r="J54" s="179"/>
      <c r="K54" s="179"/>
      <c r="L54" s="179"/>
      <c r="M54" s="179"/>
      <c r="N54" s="179"/>
      <c r="O54" s="179"/>
      <c r="P54" s="179"/>
      <c r="Q54" s="180" t="str">
        <f>IF(LEN(TRIM('3 Освоение программы'!C40))=0," ",'3 Освоение программы'!C40)</f>
        <v>?? з.е.</v>
      </c>
      <c r="R54" s="180"/>
      <c r="S54" s="180"/>
      <c r="T54" s="180"/>
      <c r="U54" s="180"/>
      <c r="V54" s="180" t="str">
        <f>IF(LEN(TRIM('3 Освоение программы'!D40))=0," ",'3 Освоение программы'!D40)</f>
        <v>оценка</v>
      </c>
      <c r="W54" s="180"/>
      <c r="X54" s="180"/>
      <c r="Y54" s="180"/>
      <c r="Z54" s="180"/>
      <c r="AA54" s="180"/>
      <c r="AB54" s="90"/>
      <c r="AC54" s="90"/>
      <c r="AD54" s="90"/>
      <c r="AE54" s="181" t="str">
        <f>IF(LEN(TRIM('3 Освоение программы'!B108))=0," ",'3 Освоение программы'!B108)</f>
        <v xml:space="preserve"> </v>
      </c>
      <c r="AF54" s="181"/>
      <c r="AG54" s="181"/>
      <c r="AH54" s="181"/>
      <c r="AI54" s="181"/>
      <c r="AJ54" s="181"/>
      <c r="AK54" s="181"/>
      <c r="AL54" s="181"/>
      <c r="AM54" s="181"/>
      <c r="AN54" s="181"/>
      <c r="AO54" s="181"/>
      <c r="AP54" s="181"/>
      <c r="AQ54" s="181"/>
      <c r="AR54" s="183" t="str">
        <f>IF(LEN(TRIM('3 Освоение программы'!C108))=0," ",'3 Освоение программы'!C108)</f>
        <v xml:space="preserve"> </v>
      </c>
      <c r="AS54" s="183"/>
      <c r="AT54" s="183"/>
      <c r="AU54" s="183"/>
      <c r="AV54" s="183" t="str">
        <f>IF(LEN(TRIM('3 Освоение программы'!D108))=0," ",'3 Освоение программы'!D108)</f>
        <v xml:space="preserve"> </v>
      </c>
      <c r="AW54" s="183"/>
      <c r="AX54" s="183"/>
      <c r="AY54" s="183"/>
      <c r="AZ54" s="183"/>
      <c r="BA54" s="27"/>
    </row>
    <row r="55" spans="1:53" ht="9.9499999999999993" customHeight="1" x14ac:dyDescent="0.25">
      <c r="A55" s="91"/>
      <c r="B55" s="179" t="str">
        <f>IF(LEN(TRIM('3 Освоение программы'!B41))=0," ",'3 Освоение программы'!B41)</f>
        <v>Дисциплина 40</v>
      </c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80" t="str">
        <f>IF(LEN(TRIM('3 Освоение программы'!C41))=0," ",'3 Освоение программы'!C41)</f>
        <v>?? з.е.</v>
      </c>
      <c r="R55" s="180"/>
      <c r="S55" s="180"/>
      <c r="T55" s="180"/>
      <c r="U55" s="180"/>
      <c r="V55" s="180" t="str">
        <f>IF(LEN(TRIM('3 Освоение программы'!D41))=0," ",'3 Освоение программы'!D41)</f>
        <v>оценка</v>
      </c>
      <c r="W55" s="180"/>
      <c r="X55" s="180"/>
      <c r="Y55" s="180"/>
      <c r="Z55" s="180"/>
      <c r="AA55" s="180"/>
      <c r="AB55" s="90"/>
      <c r="AC55" s="90"/>
      <c r="AD55" s="90"/>
      <c r="AE55" s="181" t="str">
        <f>IF(LEN(TRIM('3 Освоение программы'!B109))=0," ",'3 Освоение программы'!B109)</f>
        <v xml:space="preserve"> </v>
      </c>
      <c r="AF55" s="181"/>
      <c r="AG55" s="181"/>
      <c r="AH55" s="181"/>
      <c r="AI55" s="181"/>
      <c r="AJ55" s="181"/>
      <c r="AK55" s="181"/>
      <c r="AL55" s="181"/>
      <c r="AM55" s="181"/>
      <c r="AN55" s="181"/>
      <c r="AO55" s="181"/>
      <c r="AP55" s="181"/>
      <c r="AQ55" s="181"/>
      <c r="AR55" s="183" t="str">
        <f>IF(LEN(TRIM('3 Освоение программы'!C109))=0," ",'3 Освоение программы'!C109)</f>
        <v xml:space="preserve"> </v>
      </c>
      <c r="AS55" s="183"/>
      <c r="AT55" s="183"/>
      <c r="AU55" s="183"/>
      <c r="AV55" s="183" t="str">
        <f>IF(LEN(TRIM('3 Освоение программы'!D109))=0," ",'3 Освоение программы'!D109)</f>
        <v xml:space="preserve"> </v>
      </c>
      <c r="AW55" s="183"/>
      <c r="AX55" s="183"/>
      <c r="AY55" s="183"/>
      <c r="AZ55" s="183"/>
      <c r="BA55" s="27"/>
    </row>
    <row r="56" spans="1:53" ht="9.9499999999999993" customHeight="1" x14ac:dyDescent="0.25">
      <c r="A56" s="91"/>
      <c r="B56" s="179" t="str">
        <f>IF(LEN(TRIM('3 Освоение программы'!B42))=0," ",'3 Освоение программы'!B42)</f>
        <v>Дисциплина 41</v>
      </c>
      <c r="C56" s="179"/>
      <c r="D56" s="179"/>
      <c r="E56" s="179"/>
      <c r="F56" s="179"/>
      <c r="G56" s="179"/>
      <c r="H56" s="179"/>
      <c r="I56" s="179"/>
      <c r="J56" s="179"/>
      <c r="K56" s="179"/>
      <c r="L56" s="179"/>
      <c r="M56" s="179"/>
      <c r="N56" s="179"/>
      <c r="O56" s="179"/>
      <c r="P56" s="179"/>
      <c r="Q56" s="180" t="str">
        <f>IF(LEN(TRIM('3 Освоение программы'!C42))=0," ",'3 Освоение программы'!C42)</f>
        <v>?? з.е.</v>
      </c>
      <c r="R56" s="180"/>
      <c r="S56" s="180"/>
      <c r="T56" s="180"/>
      <c r="U56" s="180"/>
      <c r="V56" s="180" t="str">
        <f>IF(LEN(TRIM('3 Освоение программы'!D42))=0," ",'3 Освоение программы'!D42)</f>
        <v>оценка</v>
      </c>
      <c r="W56" s="180"/>
      <c r="X56" s="180"/>
      <c r="Y56" s="180"/>
      <c r="Z56" s="180"/>
      <c r="AA56" s="180"/>
      <c r="AB56" s="90"/>
      <c r="AC56" s="90"/>
      <c r="AD56" s="90"/>
      <c r="AE56" s="181" t="str">
        <f>IF(LEN(TRIM('3 Освоение программы'!B110))=0," ",'3 Освоение программы'!B110)</f>
        <v xml:space="preserve"> </v>
      </c>
      <c r="AF56" s="181"/>
      <c r="AG56" s="181"/>
      <c r="AH56" s="181"/>
      <c r="AI56" s="181"/>
      <c r="AJ56" s="181"/>
      <c r="AK56" s="181"/>
      <c r="AL56" s="181"/>
      <c r="AM56" s="181"/>
      <c r="AN56" s="181"/>
      <c r="AO56" s="181"/>
      <c r="AP56" s="181"/>
      <c r="AQ56" s="181"/>
      <c r="AR56" s="183" t="str">
        <f>IF(LEN(TRIM('3 Освоение программы'!C110))=0," ",'3 Освоение программы'!C110)</f>
        <v xml:space="preserve"> </v>
      </c>
      <c r="AS56" s="183"/>
      <c r="AT56" s="183"/>
      <c r="AU56" s="183"/>
      <c r="AV56" s="183" t="str">
        <f>IF(LEN(TRIM('3 Освоение программы'!D110))=0," ",'3 Освоение программы'!D110)</f>
        <v xml:space="preserve"> </v>
      </c>
      <c r="AW56" s="183"/>
      <c r="AX56" s="183"/>
      <c r="AY56" s="183"/>
      <c r="AZ56" s="183"/>
      <c r="BA56" s="27"/>
    </row>
    <row r="57" spans="1:53" ht="9.9499999999999993" customHeight="1" x14ac:dyDescent="0.25">
      <c r="A57" s="91"/>
      <c r="B57" s="179" t="str">
        <f>IF(LEN(TRIM('3 Освоение программы'!B43))=0," ",'3 Освоение программы'!B43)</f>
        <v>Дисциплина 42</v>
      </c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79"/>
      <c r="Q57" s="180" t="str">
        <f>IF(LEN(TRIM('3 Освоение программы'!C43))=0," ",'3 Освоение программы'!C43)</f>
        <v>?? з.е.</v>
      </c>
      <c r="R57" s="180"/>
      <c r="S57" s="180"/>
      <c r="T57" s="180"/>
      <c r="U57" s="180"/>
      <c r="V57" s="180" t="str">
        <f>IF(LEN(TRIM('3 Освоение программы'!D43))=0," ",'3 Освоение программы'!D43)</f>
        <v>оценка</v>
      </c>
      <c r="W57" s="180"/>
      <c r="X57" s="180"/>
      <c r="Y57" s="180"/>
      <c r="Z57" s="180"/>
      <c r="AA57" s="180"/>
      <c r="AB57" s="90"/>
      <c r="AC57" s="90"/>
      <c r="AD57" s="90"/>
      <c r="AE57" s="181" t="str">
        <f>IF(LEN(TRIM('3 Освоение программы'!B111))=0," ",'3 Освоение программы'!B111)</f>
        <v xml:space="preserve"> </v>
      </c>
      <c r="AF57" s="181"/>
      <c r="AG57" s="181"/>
      <c r="AH57" s="181"/>
      <c r="AI57" s="181"/>
      <c r="AJ57" s="181"/>
      <c r="AK57" s="181"/>
      <c r="AL57" s="181"/>
      <c r="AM57" s="181"/>
      <c r="AN57" s="181"/>
      <c r="AO57" s="181"/>
      <c r="AP57" s="181"/>
      <c r="AQ57" s="181"/>
      <c r="AR57" s="183" t="str">
        <f>IF(LEN(TRIM('3 Освоение программы'!C111))=0," ",'3 Освоение программы'!C111)</f>
        <v xml:space="preserve"> </v>
      </c>
      <c r="AS57" s="183"/>
      <c r="AT57" s="183"/>
      <c r="AU57" s="183"/>
      <c r="AV57" s="183" t="str">
        <f>IF(LEN(TRIM('3 Освоение программы'!D111))=0," ",'3 Освоение программы'!D111)</f>
        <v xml:space="preserve"> </v>
      </c>
      <c r="AW57" s="183"/>
      <c r="AX57" s="183"/>
      <c r="AY57" s="183"/>
      <c r="AZ57" s="183"/>
      <c r="BA57" s="27"/>
    </row>
    <row r="58" spans="1:53" ht="9.9499999999999993" customHeight="1" x14ac:dyDescent="0.25">
      <c r="A58" s="91"/>
      <c r="B58" s="179" t="str">
        <f>IF(LEN(TRIM('3 Освоение программы'!B44))=0," ",'3 Освоение программы'!B44)</f>
        <v>Дисциплина 43</v>
      </c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80" t="str">
        <f>IF(LEN(TRIM('3 Освоение программы'!C44))=0," ",'3 Освоение программы'!C44)</f>
        <v>?? з.е.</v>
      </c>
      <c r="R58" s="180"/>
      <c r="S58" s="180"/>
      <c r="T58" s="180"/>
      <c r="U58" s="180"/>
      <c r="V58" s="180" t="str">
        <f>IF(LEN(TRIM('3 Освоение программы'!D44))=0," ",'3 Освоение программы'!D44)</f>
        <v>оценка</v>
      </c>
      <c r="W58" s="180"/>
      <c r="X58" s="180"/>
      <c r="Y58" s="180"/>
      <c r="Z58" s="180"/>
      <c r="AA58" s="180"/>
      <c r="AB58" s="90"/>
      <c r="AC58" s="90"/>
      <c r="AD58" s="90"/>
      <c r="AE58" s="181" t="str">
        <f>IF(LEN(TRIM('3 Освоение программы'!B112))=0," ",'3 Освоение программы'!B112)</f>
        <v xml:space="preserve"> </v>
      </c>
      <c r="AF58" s="181"/>
      <c r="AG58" s="181"/>
      <c r="AH58" s="181"/>
      <c r="AI58" s="181"/>
      <c r="AJ58" s="181"/>
      <c r="AK58" s="181"/>
      <c r="AL58" s="181"/>
      <c r="AM58" s="181"/>
      <c r="AN58" s="181"/>
      <c r="AO58" s="181"/>
      <c r="AP58" s="181"/>
      <c r="AQ58" s="181"/>
      <c r="AR58" s="183" t="str">
        <f>IF(LEN(TRIM('3 Освоение программы'!C112))=0," ",'3 Освоение программы'!C112)</f>
        <v xml:space="preserve"> </v>
      </c>
      <c r="AS58" s="183"/>
      <c r="AT58" s="183"/>
      <c r="AU58" s="183"/>
      <c r="AV58" s="183" t="str">
        <f>IF(LEN(TRIM('3 Освоение программы'!D112))=0," ",'3 Освоение программы'!D112)</f>
        <v xml:space="preserve"> </v>
      </c>
      <c r="AW58" s="183"/>
      <c r="AX58" s="183"/>
      <c r="AY58" s="183"/>
      <c r="AZ58" s="183"/>
      <c r="BA58" s="27"/>
    </row>
    <row r="59" spans="1:53" ht="9.9499999999999993" customHeight="1" x14ac:dyDescent="0.25">
      <c r="A59" s="91"/>
      <c r="B59" s="179" t="str">
        <f>IF(LEN(TRIM('3 Освоение программы'!B45))=0," ",'3 Освоение программы'!B45)</f>
        <v>Дисциплина 44</v>
      </c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80" t="str">
        <f>IF(LEN(TRIM('3 Освоение программы'!C45))=0," ",'3 Освоение программы'!C45)</f>
        <v>?? з.е.</v>
      </c>
      <c r="R59" s="180"/>
      <c r="S59" s="180"/>
      <c r="T59" s="180"/>
      <c r="U59" s="180"/>
      <c r="V59" s="180" t="str">
        <f>IF(LEN(TRIM('3 Освоение программы'!D45))=0," ",'3 Освоение программы'!D45)</f>
        <v>оценка</v>
      </c>
      <c r="W59" s="180"/>
      <c r="X59" s="180"/>
      <c r="Y59" s="180"/>
      <c r="Z59" s="180"/>
      <c r="AA59" s="180"/>
      <c r="AB59" s="90"/>
      <c r="AC59" s="90"/>
      <c r="AD59" s="90"/>
      <c r="AE59" s="181" t="str">
        <f>IF(LEN(TRIM('3 Освоение программы'!B113))=0," ",'3 Освоение программы'!B113)</f>
        <v xml:space="preserve"> </v>
      </c>
      <c r="AF59" s="181"/>
      <c r="AG59" s="181"/>
      <c r="AH59" s="181"/>
      <c r="AI59" s="181"/>
      <c r="AJ59" s="181"/>
      <c r="AK59" s="181"/>
      <c r="AL59" s="181"/>
      <c r="AM59" s="181"/>
      <c r="AN59" s="181"/>
      <c r="AO59" s="181"/>
      <c r="AP59" s="181"/>
      <c r="AQ59" s="181"/>
      <c r="AR59" s="183" t="str">
        <f>IF(LEN(TRIM('3 Освоение программы'!C113))=0," ",'3 Освоение программы'!C113)</f>
        <v xml:space="preserve"> </v>
      </c>
      <c r="AS59" s="183"/>
      <c r="AT59" s="183"/>
      <c r="AU59" s="183"/>
      <c r="AV59" s="183" t="str">
        <f>IF(LEN(TRIM('3 Освоение программы'!D113))=0," ",'3 Освоение программы'!D113)</f>
        <v xml:space="preserve"> </v>
      </c>
      <c r="AW59" s="183"/>
      <c r="AX59" s="183"/>
      <c r="AY59" s="183"/>
      <c r="AZ59" s="183"/>
      <c r="BA59" s="27"/>
    </row>
    <row r="60" spans="1:53" ht="9.9499999999999993" customHeight="1" x14ac:dyDescent="0.25">
      <c r="A60" s="91"/>
      <c r="B60" s="179" t="str">
        <f>IF(LEN(TRIM('3 Освоение программы'!B46))=0," ",'3 Освоение программы'!B46)</f>
        <v>Дисциплина 45</v>
      </c>
      <c r="C60" s="179"/>
      <c r="D60" s="179"/>
      <c r="E60" s="179"/>
      <c r="F60" s="179"/>
      <c r="G60" s="179"/>
      <c r="H60" s="179"/>
      <c r="I60" s="179"/>
      <c r="J60" s="179"/>
      <c r="K60" s="179"/>
      <c r="L60" s="179"/>
      <c r="M60" s="179"/>
      <c r="N60" s="179"/>
      <c r="O60" s="179"/>
      <c r="P60" s="179"/>
      <c r="Q60" s="180" t="str">
        <f>IF(LEN(TRIM('3 Освоение программы'!C46))=0," ",'3 Освоение программы'!C46)</f>
        <v>?? з.е.</v>
      </c>
      <c r="R60" s="180"/>
      <c r="S60" s="180"/>
      <c r="T60" s="180"/>
      <c r="U60" s="180"/>
      <c r="V60" s="180" t="str">
        <f>IF(LEN(TRIM('3 Освоение программы'!D46))=0," ",'3 Освоение программы'!D46)</f>
        <v>оценка</v>
      </c>
      <c r="W60" s="180"/>
      <c r="X60" s="180"/>
      <c r="Y60" s="180"/>
      <c r="Z60" s="180"/>
      <c r="AA60" s="180"/>
      <c r="AB60" s="90"/>
      <c r="AC60" s="90"/>
      <c r="AD60" s="90"/>
      <c r="AE60" s="181" t="str">
        <f>IF(LEN(TRIM('3 Освоение программы'!B114))=0," ",'3 Освоение программы'!B114)</f>
        <v xml:space="preserve"> </v>
      </c>
      <c r="AF60" s="181"/>
      <c r="AG60" s="181"/>
      <c r="AH60" s="181"/>
      <c r="AI60" s="181"/>
      <c r="AJ60" s="181"/>
      <c r="AK60" s="181"/>
      <c r="AL60" s="181"/>
      <c r="AM60" s="181"/>
      <c r="AN60" s="181"/>
      <c r="AO60" s="181"/>
      <c r="AP60" s="181"/>
      <c r="AQ60" s="181"/>
      <c r="AR60" s="183" t="str">
        <f>IF(LEN(TRIM('3 Освоение программы'!C114))=0," ",'3 Освоение программы'!C114)</f>
        <v xml:space="preserve"> </v>
      </c>
      <c r="AS60" s="183"/>
      <c r="AT60" s="183"/>
      <c r="AU60" s="183"/>
      <c r="AV60" s="183" t="str">
        <f>IF(LEN(TRIM('3 Освоение программы'!D114))=0," ",'3 Освоение программы'!D114)</f>
        <v xml:space="preserve"> </v>
      </c>
      <c r="AW60" s="183"/>
      <c r="AX60" s="183"/>
      <c r="AY60" s="183"/>
      <c r="AZ60" s="183"/>
      <c r="BA60" s="27"/>
    </row>
    <row r="61" spans="1:53" ht="9.9499999999999993" customHeight="1" x14ac:dyDescent="0.25">
      <c r="A61" s="91"/>
      <c r="B61" s="179" t="str">
        <f>IF(LEN(TRIM('3 Освоение программы'!B47))=0," ",'3 Освоение программы'!B47)</f>
        <v>Дисциплина 46</v>
      </c>
      <c r="C61" s="179"/>
      <c r="D61" s="179"/>
      <c r="E61" s="179"/>
      <c r="F61" s="179"/>
      <c r="G61" s="179"/>
      <c r="H61" s="179"/>
      <c r="I61" s="179"/>
      <c r="J61" s="179"/>
      <c r="K61" s="179"/>
      <c r="L61" s="179"/>
      <c r="M61" s="179"/>
      <c r="N61" s="179"/>
      <c r="O61" s="179"/>
      <c r="P61" s="179"/>
      <c r="Q61" s="180" t="str">
        <f>IF(LEN(TRIM('3 Освоение программы'!C47))=0," ",'3 Освоение программы'!C47)</f>
        <v>?? з.е.</v>
      </c>
      <c r="R61" s="180"/>
      <c r="S61" s="180"/>
      <c r="T61" s="180"/>
      <c r="U61" s="180"/>
      <c r="V61" s="180" t="str">
        <f>IF(LEN(TRIM('3 Освоение программы'!D47))=0," ",'3 Освоение программы'!D47)</f>
        <v>оценка</v>
      </c>
      <c r="W61" s="180"/>
      <c r="X61" s="180"/>
      <c r="Y61" s="180"/>
      <c r="Z61" s="180"/>
      <c r="AA61" s="180"/>
      <c r="AB61" s="90"/>
      <c r="AC61" s="90"/>
      <c r="AD61" s="90"/>
      <c r="AE61" s="181" t="str">
        <f>IF(LEN(TRIM('3 Освоение программы'!B115))=0," ",'3 Освоение программы'!B115)</f>
        <v xml:space="preserve"> </v>
      </c>
      <c r="AF61" s="181"/>
      <c r="AG61" s="181"/>
      <c r="AH61" s="181"/>
      <c r="AI61" s="181"/>
      <c r="AJ61" s="181"/>
      <c r="AK61" s="181"/>
      <c r="AL61" s="181"/>
      <c r="AM61" s="181"/>
      <c r="AN61" s="181"/>
      <c r="AO61" s="181"/>
      <c r="AP61" s="181"/>
      <c r="AQ61" s="181"/>
      <c r="AR61" s="183" t="str">
        <f>IF(LEN(TRIM('3 Освоение программы'!C115))=0," ",'3 Освоение программы'!C115)</f>
        <v xml:space="preserve"> </v>
      </c>
      <c r="AS61" s="183"/>
      <c r="AT61" s="183"/>
      <c r="AU61" s="183"/>
      <c r="AV61" s="183" t="str">
        <f>IF(LEN(TRIM('3 Освоение программы'!D115))=0," ",'3 Освоение программы'!D115)</f>
        <v xml:space="preserve"> </v>
      </c>
      <c r="AW61" s="183"/>
      <c r="AX61" s="183"/>
      <c r="AY61" s="183"/>
      <c r="AZ61" s="183"/>
      <c r="BA61" s="27"/>
    </row>
    <row r="62" spans="1:53" ht="9.9499999999999993" customHeight="1" x14ac:dyDescent="0.25">
      <c r="A62" s="91"/>
      <c r="B62" s="179" t="str">
        <f>IF(LEN(TRIM('3 Освоение программы'!B48))=0," ",'3 Освоение программы'!B48)</f>
        <v>Дисциплина 47</v>
      </c>
      <c r="C62" s="179"/>
      <c r="D62" s="179"/>
      <c r="E62" s="179"/>
      <c r="F62" s="179"/>
      <c r="G62" s="179"/>
      <c r="H62" s="179"/>
      <c r="I62" s="179"/>
      <c r="J62" s="179"/>
      <c r="K62" s="179"/>
      <c r="L62" s="179"/>
      <c r="M62" s="179"/>
      <c r="N62" s="179"/>
      <c r="O62" s="179"/>
      <c r="P62" s="179"/>
      <c r="Q62" s="180" t="str">
        <f>IF(LEN(TRIM('3 Освоение программы'!C48))=0," ",'3 Освоение программы'!C48)</f>
        <v>?? з.е.</v>
      </c>
      <c r="R62" s="180"/>
      <c r="S62" s="180"/>
      <c r="T62" s="180"/>
      <c r="U62" s="180"/>
      <c r="V62" s="180" t="str">
        <f>IF(LEN(TRIM('3 Освоение программы'!D48))=0," ",'3 Освоение программы'!D48)</f>
        <v>оценка</v>
      </c>
      <c r="W62" s="180"/>
      <c r="X62" s="180"/>
      <c r="Y62" s="180"/>
      <c r="Z62" s="180"/>
      <c r="AA62" s="180"/>
      <c r="AB62" s="90"/>
      <c r="AC62" s="90"/>
      <c r="AD62" s="90"/>
      <c r="AE62" s="181" t="str">
        <f>IF(LEN(TRIM('3 Освоение программы'!B116))=0," ",'3 Освоение программы'!B116)</f>
        <v xml:space="preserve"> </v>
      </c>
      <c r="AF62" s="181"/>
      <c r="AG62" s="181"/>
      <c r="AH62" s="181"/>
      <c r="AI62" s="181"/>
      <c r="AJ62" s="181"/>
      <c r="AK62" s="181"/>
      <c r="AL62" s="181"/>
      <c r="AM62" s="181"/>
      <c r="AN62" s="181"/>
      <c r="AO62" s="181"/>
      <c r="AP62" s="181"/>
      <c r="AQ62" s="181"/>
      <c r="AR62" s="183" t="str">
        <f>IF(LEN(TRIM('3 Освоение программы'!C116))=0," ",'3 Освоение программы'!C116)</f>
        <v xml:space="preserve"> </v>
      </c>
      <c r="AS62" s="183"/>
      <c r="AT62" s="183"/>
      <c r="AU62" s="183"/>
      <c r="AV62" s="183" t="str">
        <f>IF(LEN(TRIM('3 Освоение программы'!D116))=0," ",'3 Освоение программы'!D116)</f>
        <v xml:space="preserve"> </v>
      </c>
      <c r="AW62" s="183"/>
      <c r="AX62" s="183"/>
      <c r="AY62" s="183"/>
      <c r="AZ62" s="183"/>
      <c r="BA62" s="27"/>
    </row>
    <row r="63" spans="1:53" ht="9.9499999999999993" customHeight="1" x14ac:dyDescent="0.25">
      <c r="A63" s="91"/>
      <c r="B63" s="179" t="str">
        <f>IF(LEN(TRIM('3 Освоение программы'!B49))=0," ",'3 Освоение программы'!B49)</f>
        <v>Дисциплина 48</v>
      </c>
      <c r="C63" s="179"/>
      <c r="D63" s="179"/>
      <c r="E63" s="179"/>
      <c r="F63" s="179"/>
      <c r="G63" s="179"/>
      <c r="H63" s="179"/>
      <c r="I63" s="179"/>
      <c r="J63" s="179"/>
      <c r="K63" s="179"/>
      <c r="L63" s="179"/>
      <c r="M63" s="179"/>
      <c r="N63" s="179"/>
      <c r="O63" s="179"/>
      <c r="P63" s="179"/>
      <c r="Q63" s="180" t="str">
        <f>IF(LEN(TRIM('3 Освоение программы'!C49))=0," ",'3 Освоение программы'!C49)</f>
        <v>?? з.е.</v>
      </c>
      <c r="R63" s="180"/>
      <c r="S63" s="180"/>
      <c r="T63" s="180"/>
      <c r="U63" s="180"/>
      <c r="V63" s="180" t="str">
        <f>IF(LEN(TRIM('3 Освоение программы'!D49))=0," ",'3 Освоение программы'!D49)</f>
        <v>оценка</v>
      </c>
      <c r="W63" s="180"/>
      <c r="X63" s="180"/>
      <c r="Y63" s="180"/>
      <c r="Z63" s="180"/>
      <c r="AA63" s="180"/>
      <c r="AB63" s="90"/>
      <c r="AC63" s="90"/>
      <c r="AD63" s="90"/>
      <c r="AE63" s="181" t="str">
        <f>IF(LEN(TRIM('3 Освоение программы'!B117))=0," ",'3 Освоение программы'!B117)</f>
        <v xml:space="preserve"> </v>
      </c>
      <c r="AF63" s="181"/>
      <c r="AG63" s="181"/>
      <c r="AH63" s="181"/>
      <c r="AI63" s="181"/>
      <c r="AJ63" s="181"/>
      <c r="AK63" s="181"/>
      <c r="AL63" s="181"/>
      <c r="AM63" s="181"/>
      <c r="AN63" s="181"/>
      <c r="AO63" s="181"/>
      <c r="AP63" s="181"/>
      <c r="AQ63" s="181"/>
      <c r="AR63" s="183" t="str">
        <f>IF(LEN(TRIM('3 Освоение программы'!C117))=0," ",'3 Освоение программы'!C117)</f>
        <v xml:space="preserve"> </v>
      </c>
      <c r="AS63" s="183"/>
      <c r="AT63" s="183"/>
      <c r="AU63" s="183"/>
      <c r="AV63" s="183" t="str">
        <f>IF(LEN(TRIM('3 Освоение программы'!D117))=0," ",'3 Освоение программы'!D117)</f>
        <v xml:space="preserve"> </v>
      </c>
      <c r="AW63" s="183"/>
      <c r="AX63" s="183"/>
      <c r="AY63" s="183"/>
      <c r="AZ63" s="183"/>
      <c r="BA63" s="27"/>
    </row>
    <row r="64" spans="1:53" ht="9.9499999999999993" customHeight="1" x14ac:dyDescent="0.25">
      <c r="A64" s="91"/>
      <c r="B64" s="179" t="str">
        <f>IF(LEN(TRIM('3 Освоение программы'!B50))=0," ",'3 Освоение программы'!B50)</f>
        <v>Дисциплина 49</v>
      </c>
      <c r="C64" s="179"/>
      <c r="D64" s="179"/>
      <c r="E64" s="179"/>
      <c r="F64" s="179"/>
      <c r="G64" s="179"/>
      <c r="H64" s="179"/>
      <c r="I64" s="179"/>
      <c r="J64" s="179"/>
      <c r="K64" s="179"/>
      <c r="L64" s="179"/>
      <c r="M64" s="179"/>
      <c r="N64" s="179"/>
      <c r="O64" s="179"/>
      <c r="P64" s="179"/>
      <c r="Q64" s="180" t="str">
        <f>IF(LEN(TRIM('3 Освоение программы'!C50))=0," ",'3 Освоение программы'!C50)</f>
        <v>?? з.е.</v>
      </c>
      <c r="R64" s="180"/>
      <c r="S64" s="180"/>
      <c r="T64" s="180"/>
      <c r="U64" s="180"/>
      <c r="V64" s="180" t="str">
        <f>IF(LEN(TRIM('3 Освоение программы'!D50))=0," ",'3 Освоение программы'!D50)</f>
        <v>оценка</v>
      </c>
      <c r="W64" s="180"/>
      <c r="X64" s="180"/>
      <c r="Y64" s="180"/>
      <c r="Z64" s="180"/>
      <c r="AA64" s="180"/>
      <c r="AB64" s="90"/>
      <c r="AC64" s="90"/>
      <c r="AD64" s="90"/>
      <c r="AE64" s="181" t="str">
        <f>IF(LEN(TRIM('3 Освоение программы'!B118))=0," ",'3 Освоение программы'!B118)</f>
        <v xml:space="preserve"> </v>
      </c>
      <c r="AF64" s="181"/>
      <c r="AG64" s="181"/>
      <c r="AH64" s="181"/>
      <c r="AI64" s="181"/>
      <c r="AJ64" s="181"/>
      <c r="AK64" s="181"/>
      <c r="AL64" s="181"/>
      <c r="AM64" s="181"/>
      <c r="AN64" s="181"/>
      <c r="AO64" s="181"/>
      <c r="AP64" s="181"/>
      <c r="AQ64" s="181"/>
      <c r="AR64" s="183" t="str">
        <f>IF(LEN(TRIM('3 Освоение программы'!C118))=0," ",'3 Освоение программы'!C118)</f>
        <v xml:space="preserve"> </v>
      </c>
      <c r="AS64" s="183"/>
      <c r="AT64" s="183"/>
      <c r="AU64" s="183"/>
      <c r="AV64" s="183" t="str">
        <f>IF(LEN(TRIM('3 Освоение программы'!D118))=0," ",'3 Освоение программы'!D118)</f>
        <v xml:space="preserve"> </v>
      </c>
      <c r="AW64" s="183"/>
      <c r="AX64" s="183"/>
      <c r="AY64" s="183"/>
      <c r="AZ64" s="183"/>
      <c r="BA64" s="27"/>
    </row>
    <row r="65" spans="1:53" ht="9.9499999999999993" customHeight="1" x14ac:dyDescent="0.25">
      <c r="A65" s="91"/>
      <c r="B65" s="179" t="str">
        <f>IF(LEN(TRIM('3 Освоение программы'!B51))=0," ",'3 Освоение программы'!B51)</f>
        <v>Дисциплина 50</v>
      </c>
      <c r="C65" s="179"/>
      <c r="D65" s="179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80" t="str">
        <f>IF(LEN(TRIM('3 Освоение программы'!C51))=0," ",'3 Освоение программы'!C51)</f>
        <v>?? з.е.</v>
      </c>
      <c r="R65" s="180"/>
      <c r="S65" s="180"/>
      <c r="T65" s="180"/>
      <c r="U65" s="180"/>
      <c r="V65" s="180" t="str">
        <f>IF(LEN(TRIM('3 Освоение программы'!D51))=0," ",'3 Освоение программы'!D51)</f>
        <v>оценка</v>
      </c>
      <c r="W65" s="180"/>
      <c r="X65" s="180"/>
      <c r="Y65" s="180"/>
      <c r="Z65" s="180"/>
      <c r="AA65" s="180"/>
      <c r="AB65" s="90"/>
      <c r="AC65" s="90"/>
      <c r="AD65" s="90"/>
      <c r="AE65" s="181" t="str">
        <f>IF(LEN(TRIM('3 Освоение программы'!B119))=0," ",'3 Освоение программы'!B119)</f>
        <v xml:space="preserve"> </v>
      </c>
      <c r="AF65" s="181"/>
      <c r="AG65" s="181"/>
      <c r="AH65" s="181"/>
      <c r="AI65" s="181"/>
      <c r="AJ65" s="181"/>
      <c r="AK65" s="181"/>
      <c r="AL65" s="181"/>
      <c r="AM65" s="181"/>
      <c r="AN65" s="181"/>
      <c r="AO65" s="181"/>
      <c r="AP65" s="181"/>
      <c r="AQ65" s="181"/>
      <c r="AR65" s="183" t="str">
        <f>IF(LEN(TRIM('3 Освоение программы'!C119))=0," ",'3 Освоение программы'!C119)</f>
        <v xml:space="preserve"> </v>
      </c>
      <c r="AS65" s="183"/>
      <c r="AT65" s="183"/>
      <c r="AU65" s="183"/>
      <c r="AV65" s="183" t="str">
        <f>IF(LEN(TRIM('3 Освоение программы'!D119))=0," ",'3 Освоение программы'!D119)</f>
        <v xml:space="preserve"> </v>
      </c>
      <c r="AW65" s="183"/>
      <c r="AX65" s="183"/>
      <c r="AY65" s="183"/>
      <c r="AZ65" s="183"/>
      <c r="BA65" s="27"/>
    </row>
    <row r="66" spans="1:53" ht="9.9499999999999993" customHeight="1" x14ac:dyDescent="0.25">
      <c r="A66" s="91"/>
      <c r="B66" s="179" t="str">
        <f>IF(LEN(TRIM('3 Освоение программы'!B52))=0," ",'3 Освоение программы'!B52)</f>
        <v>Дисциплина 51</v>
      </c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80" t="str">
        <f>IF(LEN(TRIM('3 Освоение программы'!C52))=0," ",'3 Освоение программы'!C52)</f>
        <v>?? з.е.</v>
      </c>
      <c r="R66" s="180"/>
      <c r="S66" s="180"/>
      <c r="T66" s="180"/>
      <c r="U66" s="180"/>
      <c r="V66" s="180" t="str">
        <f>IF(LEN(TRIM('3 Освоение программы'!D52))=0," ",'3 Освоение программы'!D52)</f>
        <v>оценка</v>
      </c>
      <c r="W66" s="180"/>
      <c r="X66" s="180"/>
      <c r="Y66" s="180"/>
      <c r="Z66" s="180"/>
      <c r="AA66" s="180"/>
      <c r="AB66" s="90"/>
      <c r="AC66" s="90"/>
      <c r="AD66" s="90"/>
      <c r="AE66" s="181" t="str">
        <f>IF(LEN(TRIM('3 Освоение программы'!B120))=0," ",'3 Освоение программы'!B120)</f>
        <v xml:space="preserve"> </v>
      </c>
      <c r="AF66" s="181"/>
      <c r="AG66" s="181"/>
      <c r="AH66" s="181"/>
      <c r="AI66" s="181"/>
      <c r="AJ66" s="181"/>
      <c r="AK66" s="181"/>
      <c r="AL66" s="181"/>
      <c r="AM66" s="181"/>
      <c r="AN66" s="181"/>
      <c r="AO66" s="181"/>
      <c r="AP66" s="181"/>
      <c r="AQ66" s="181"/>
      <c r="AR66" s="183" t="str">
        <f>IF(LEN(TRIM('3 Освоение программы'!C120))=0," ",'3 Освоение программы'!C120)</f>
        <v xml:space="preserve"> </v>
      </c>
      <c r="AS66" s="183"/>
      <c r="AT66" s="183"/>
      <c r="AU66" s="183"/>
      <c r="AV66" s="183" t="str">
        <f>IF(LEN(TRIM('3 Освоение программы'!D120))=0," ",'3 Освоение программы'!D120)</f>
        <v xml:space="preserve"> </v>
      </c>
      <c r="AW66" s="183"/>
      <c r="AX66" s="183"/>
      <c r="AY66" s="183"/>
      <c r="AZ66" s="183"/>
      <c r="BA66" s="27"/>
    </row>
    <row r="67" spans="1:53" ht="9.9499999999999993" customHeight="1" x14ac:dyDescent="0.25">
      <c r="A67" s="91"/>
      <c r="B67" s="179" t="str">
        <f>IF(LEN(TRIM('3 Освоение программы'!B53))=0," ",'3 Освоение программы'!B53)</f>
        <v>Дисциплина 52</v>
      </c>
      <c r="C67" s="179"/>
      <c r="D67" s="179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79"/>
      <c r="P67" s="179"/>
      <c r="Q67" s="180" t="str">
        <f>IF(LEN(TRIM('3 Освоение программы'!C53))=0," ",'3 Освоение программы'!C53)</f>
        <v>?? з.е.</v>
      </c>
      <c r="R67" s="180"/>
      <c r="S67" s="180"/>
      <c r="T67" s="180"/>
      <c r="U67" s="180"/>
      <c r="V67" s="180" t="str">
        <f>IF(LEN(TRIM('3 Освоение программы'!D53))=0," ",'3 Освоение программы'!D53)</f>
        <v>оценка</v>
      </c>
      <c r="W67" s="180"/>
      <c r="X67" s="180"/>
      <c r="Y67" s="180"/>
      <c r="Z67" s="180"/>
      <c r="AA67" s="180"/>
      <c r="AB67" s="90"/>
      <c r="AC67" s="90"/>
      <c r="AD67" s="90"/>
      <c r="AE67" s="181" t="str">
        <f>IF(LEN(TRIM('3 Освоение программы'!B121))=0," ",'3 Освоение программы'!B121)</f>
        <v xml:space="preserve"> </v>
      </c>
      <c r="AF67" s="181"/>
      <c r="AG67" s="181"/>
      <c r="AH67" s="181"/>
      <c r="AI67" s="181"/>
      <c r="AJ67" s="181"/>
      <c r="AK67" s="181"/>
      <c r="AL67" s="181"/>
      <c r="AM67" s="181"/>
      <c r="AN67" s="181"/>
      <c r="AO67" s="181"/>
      <c r="AP67" s="181"/>
      <c r="AQ67" s="181"/>
      <c r="AR67" s="183" t="str">
        <f>IF(LEN(TRIM('3 Освоение программы'!C121))=0," ",'3 Освоение программы'!C121)</f>
        <v xml:space="preserve"> </v>
      </c>
      <c r="AS67" s="183"/>
      <c r="AT67" s="183"/>
      <c r="AU67" s="183"/>
      <c r="AV67" s="183" t="str">
        <f>IF(LEN(TRIM('3 Освоение программы'!D121))=0," ",'3 Освоение программы'!D121)</f>
        <v xml:space="preserve"> </v>
      </c>
      <c r="AW67" s="183"/>
      <c r="AX67" s="183"/>
      <c r="AY67" s="183"/>
      <c r="AZ67" s="183"/>
      <c r="BA67" s="27"/>
    </row>
    <row r="68" spans="1:53" ht="9.9499999999999993" customHeight="1" x14ac:dyDescent="0.25">
      <c r="A68" s="91"/>
      <c r="B68" s="179" t="str">
        <f>IF(LEN(TRIM('3 Освоение программы'!B54))=0," ",'3 Освоение программы'!B54)</f>
        <v>Дисциплина 53</v>
      </c>
      <c r="C68" s="179"/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179"/>
      <c r="Q68" s="180" t="str">
        <f>IF(LEN(TRIM('3 Освоение программы'!C54))=0," ",'3 Освоение программы'!C54)</f>
        <v>?? з.е.</v>
      </c>
      <c r="R68" s="180"/>
      <c r="S68" s="180"/>
      <c r="T68" s="180"/>
      <c r="U68" s="180"/>
      <c r="V68" s="180" t="str">
        <f>IF(LEN(TRIM('3 Освоение программы'!D54))=0," ",'3 Освоение программы'!D54)</f>
        <v>оценка</v>
      </c>
      <c r="W68" s="180"/>
      <c r="X68" s="180"/>
      <c r="Y68" s="180"/>
      <c r="Z68" s="180"/>
      <c r="AA68" s="180"/>
      <c r="AB68" s="90"/>
      <c r="AC68" s="90"/>
      <c r="AD68" s="90"/>
      <c r="AE68" s="181" t="str">
        <f>IF(LEN(TRIM('3 Освоение программы'!B122))=0," ",'3 Освоение программы'!B122)</f>
        <v xml:space="preserve"> </v>
      </c>
      <c r="AF68" s="181"/>
      <c r="AG68" s="181"/>
      <c r="AH68" s="181"/>
      <c r="AI68" s="181"/>
      <c r="AJ68" s="181"/>
      <c r="AK68" s="181"/>
      <c r="AL68" s="181"/>
      <c r="AM68" s="181"/>
      <c r="AN68" s="181"/>
      <c r="AO68" s="181"/>
      <c r="AP68" s="181"/>
      <c r="AQ68" s="181"/>
      <c r="AR68" s="183" t="str">
        <f>IF(LEN(TRIM('3 Освоение программы'!C122))=0," ",'3 Освоение программы'!C122)</f>
        <v xml:space="preserve"> </v>
      </c>
      <c r="AS68" s="183"/>
      <c r="AT68" s="183"/>
      <c r="AU68" s="183"/>
      <c r="AV68" s="183" t="str">
        <f>IF(LEN(TRIM('3 Освоение программы'!D122))=0," ",'3 Освоение программы'!D122)</f>
        <v xml:space="preserve"> </v>
      </c>
      <c r="AW68" s="183"/>
      <c r="AX68" s="183"/>
      <c r="AY68" s="183"/>
      <c r="AZ68" s="183"/>
      <c r="BA68" s="27"/>
    </row>
    <row r="69" spans="1:53" ht="9.9499999999999993" customHeight="1" x14ac:dyDescent="0.25">
      <c r="A69" s="91"/>
      <c r="B69" s="179" t="str">
        <f>IF(LEN(TRIM('3 Освоение программы'!B55))=0," ",'3 Освоение программы'!B55)</f>
        <v>Дисциплина 54</v>
      </c>
      <c r="C69" s="179"/>
      <c r="D69" s="179"/>
      <c r="E69" s="179"/>
      <c r="F69" s="179"/>
      <c r="G69" s="179"/>
      <c r="H69" s="179"/>
      <c r="I69" s="179"/>
      <c r="J69" s="179"/>
      <c r="K69" s="179"/>
      <c r="L69" s="179"/>
      <c r="M69" s="179"/>
      <c r="N69" s="179"/>
      <c r="O69" s="179"/>
      <c r="P69" s="179"/>
      <c r="Q69" s="180" t="str">
        <f>IF(LEN(TRIM('3 Освоение программы'!C55))=0," ",'3 Освоение программы'!C55)</f>
        <v>?? з.е.</v>
      </c>
      <c r="R69" s="180"/>
      <c r="S69" s="180"/>
      <c r="T69" s="180"/>
      <c r="U69" s="180"/>
      <c r="V69" s="180" t="str">
        <f>IF(LEN(TRIM('3 Освоение программы'!D55))=0," ",'3 Освоение программы'!D55)</f>
        <v>оценка</v>
      </c>
      <c r="W69" s="180"/>
      <c r="X69" s="180"/>
      <c r="Y69" s="180"/>
      <c r="Z69" s="180"/>
      <c r="AA69" s="180"/>
      <c r="AB69" s="90"/>
      <c r="AC69" s="90"/>
      <c r="AD69" s="90"/>
      <c r="AE69" s="181" t="str">
        <f>IF(LEN(TRIM('3 Освоение программы'!B123))=0," ",'3 Освоение программы'!B123)</f>
        <v xml:space="preserve"> </v>
      </c>
      <c r="AF69" s="181"/>
      <c r="AG69" s="181"/>
      <c r="AH69" s="181"/>
      <c r="AI69" s="181"/>
      <c r="AJ69" s="181"/>
      <c r="AK69" s="181"/>
      <c r="AL69" s="181"/>
      <c r="AM69" s="181"/>
      <c r="AN69" s="181"/>
      <c r="AO69" s="181"/>
      <c r="AP69" s="181"/>
      <c r="AQ69" s="181"/>
      <c r="AR69" s="183" t="str">
        <f>IF(LEN(TRIM('3 Освоение программы'!C123))=0," ",'3 Освоение программы'!C123)</f>
        <v xml:space="preserve"> </v>
      </c>
      <c r="AS69" s="183"/>
      <c r="AT69" s="183"/>
      <c r="AU69" s="183"/>
      <c r="AV69" s="183" t="str">
        <f>IF(LEN(TRIM('3 Освоение программы'!D123))=0," ",'3 Освоение программы'!D123)</f>
        <v xml:space="preserve"> </v>
      </c>
      <c r="AW69" s="183"/>
      <c r="AX69" s="183"/>
      <c r="AY69" s="183"/>
      <c r="AZ69" s="183"/>
      <c r="BA69" s="27"/>
    </row>
    <row r="70" spans="1:53" ht="9.9499999999999993" customHeight="1" x14ac:dyDescent="0.25">
      <c r="A70" s="91"/>
      <c r="B70" s="179" t="str">
        <f>IF(LEN(TRIM('3 Освоение программы'!B56))=0," ",'3 Освоение программы'!B56)</f>
        <v>Дисциплина 55</v>
      </c>
      <c r="C70" s="179"/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79"/>
      <c r="P70" s="179"/>
      <c r="Q70" s="180" t="str">
        <f>IF(LEN(TRIM('3 Освоение программы'!C56))=0," ",'3 Освоение программы'!C56)</f>
        <v>?? з.е.</v>
      </c>
      <c r="R70" s="180"/>
      <c r="S70" s="180"/>
      <c r="T70" s="180"/>
      <c r="U70" s="180"/>
      <c r="V70" s="180" t="str">
        <f>IF(LEN(TRIM('3 Освоение программы'!D56))=0," ",'3 Освоение программы'!D56)</f>
        <v>оценка</v>
      </c>
      <c r="W70" s="180"/>
      <c r="X70" s="180"/>
      <c r="Y70" s="180"/>
      <c r="Z70" s="180"/>
      <c r="AA70" s="180"/>
      <c r="AB70" s="90"/>
      <c r="AC70" s="90"/>
      <c r="AD70" s="90"/>
      <c r="AE70" s="181" t="str">
        <f>IF(LEN(TRIM('3 Освоение программы'!B124))=0," ",'3 Освоение программы'!B124)</f>
        <v xml:space="preserve"> </v>
      </c>
      <c r="AF70" s="181"/>
      <c r="AG70" s="181"/>
      <c r="AH70" s="181"/>
      <c r="AI70" s="181"/>
      <c r="AJ70" s="181"/>
      <c r="AK70" s="181"/>
      <c r="AL70" s="181"/>
      <c r="AM70" s="181"/>
      <c r="AN70" s="181"/>
      <c r="AO70" s="181"/>
      <c r="AP70" s="181"/>
      <c r="AQ70" s="181"/>
      <c r="AR70" s="183" t="str">
        <f>IF(LEN(TRIM('3 Освоение программы'!C124))=0," ",'3 Освоение программы'!C124)</f>
        <v xml:space="preserve"> </v>
      </c>
      <c r="AS70" s="183"/>
      <c r="AT70" s="183"/>
      <c r="AU70" s="183"/>
      <c r="AV70" s="183" t="str">
        <f>IF(LEN(TRIM('3 Освоение программы'!D124))=0," ",'3 Освоение программы'!D124)</f>
        <v xml:space="preserve"> </v>
      </c>
      <c r="AW70" s="183"/>
      <c r="AX70" s="183"/>
      <c r="AY70" s="183"/>
      <c r="AZ70" s="183"/>
      <c r="BA70" s="27"/>
    </row>
    <row r="71" spans="1:53" ht="9.9499999999999993" customHeight="1" x14ac:dyDescent="0.25">
      <c r="A71" s="91"/>
      <c r="B71" s="179" t="str">
        <f>IF(LEN(TRIM('3 Освоение программы'!B57))=0," ",'3 Освоение программы'!B57)</f>
        <v>Дисциплина 56</v>
      </c>
      <c r="C71" s="179"/>
      <c r="D71" s="179"/>
      <c r="E71" s="179"/>
      <c r="F71" s="179"/>
      <c r="G71" s="179"/>
      <c r="H71" s="179"/>
      <c r="I71" s="179"/>
      <c r="J71" s="179"/>
      <c r="K71" s="179"/>
      <c r="L71" s="179"/>
      <c r="M71" s="179"/>
      <c r="N71" s="179"/>
      <c r="O71" s="179"/>
      <c r="P71" s="179"/>
      <c r="Q71" s="180" t="str">
        <f>IF(LEN(TRIM('3 Освоение программы'!C57))=0," ",'3 Освоение программы'!C57)</f>
        <v>?? з.е.</v>
      </c>
      <c r="R71" s="180"/>
      <c r="S71" s="180"/>
      <c r="T71" s="180"/>
      <c r="U71" s="180"/>
      <c r="V71" s="180" t="str">
        <f>IF(LEN(TRIM('3 Освоение программы'!D57))=0," ",'3 Освоение программы'!D57)</f>
        <v>оценка</v>
      </c>
      <c r="W71" s="180"/>
      <c r="X71" s="180"/>
      <c r="Y71" s="180"/>
      <c r="Z71" s="180"/>
      <c r="AA71" s="180"/>
      <c r="AB71" s="90"/>
      <c r="AC71" s="90"/>
      <c r="AD71" s="90"/>
      <c r="AE71" s="181" t="str">
        <f>IF(LEN(TRIM('3 Освоение программы'!B125))=0," ",'3 Освоение программы'!B125)</f>
        <v xml:space="preserve"> </v>
      </c>
      <c r="AF71" s="181"/>
      <c r="AG71" s="181"/>
      <c r="AH71" s="181"/>
      <c r="AI71" s="181"/>
      <c r="AJ71" s="181"/>
      <c r="AK71" s="181"/>
      <c r="AL71" s="181"/>
      <c r="AM71" s="181"/>
      <c r="AN71" s="181"/>
      <c r="AO71" s="181"/>
      <c r="AP71" s="181"/>
      <c r="AQ71" s="181"/>
      <c r="AR71" s="183" t="str">
        <f>IF(LEN(TRIM('3 Освоение программы'!C125))=0," ",'3 Освоение программы'!C125)</f>
        <v xml:space="preserve"> </v>
      </c>
      <c r="AS71" s="183"/>
      <c r="AT71" s="183"/>
      <c r="AU71" s="183"/>
      <c r="AV71" s="183" t="str">
        <f>IF(LEN(TRIM('3 Освоение программы'!D125))=0," ",'3 Освоение программы'!D125)</f>
        <v xml:space="preserve"> </v>
      </c>
      <c r="AW71" s="183"/>
      <c r="AX71" s="183"/>
      <c r="AY71" s="183"/>
      <c r="AZ71" s="183"/>
      <c r="BA71" s="27"/>
    </row>
    <row r="72" spans="1:53" ht="9.9499999999999993" customHeight="1" x14ac:dyDescent="0.25">
      <c r="A72" s="91"/>
      <c r="B72" s="179" t="str">
        <f>IF(LEN(TRIM('3 Освоение программы'!B58))=0," ",'3 Освоение программы'!B58)</f>
        <v>Дисциплина 57</v>
      </c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179"/>
      <c r="N72" s="179"/>
      <c r="O72" s="179"/>
      <c r="P72" s="179"/>
      <c r="Q72" s="180" t="str">
        <f>IF(LEN(TRIM('3 Освоение программы'!C58))=0," ",'3 Освоение программы'!C58)</f>
        <v>?? з.е.</v>
      </c>
      <c r="R72" s="180"/>
      <c r="S72" s="180"/>
      <c r="T72" s="180"/>
      <c r="U72" s="180"/>
      <c r="V72" s="180" t="str">
        <f>IF(LEN(TRIM('3 Освоение программы'!D58))=0," ",'3 Освоение программы'!D58)</f>
        <v>оценка</v>
      </c>
      <c r="W72" s="180"/>
      <c r="X72" s="180"/>
      <c r="Y72" s="180"/>
      <c r="Z72" s="180"/>
      <c r="AA72" s="180"/>
      <c r="AB72" s="90"/>
      <c r="AC72" s="90"/>
      <c r="AD72" s="90"/>
      <c r="AE72" s="181" t="str">
        <f>IF(LEN(TRIM('3 Освоение программы'!B126))=0," ",'3 Освоение программы'!B126)</f>
        <v xml:space="preserve"> </v>
      </c>
      <c r="AF72" s="181"/>
      <c r="AG72" s="181"/>
      <c r="AH72" s="181"/>
      <c r="AI72" s="181"/>
      <c r="AJ72" s="181"/>
      <c r="AK72" s="181"/>
      <c r="AL72" s="181"/>
      <c r="AM72" s="181"/>
      <c r="AN72" s="181"/>
      <c r="AO72" s="181"/>
      <c r="AP72" s="181"/>
      <c r="AQ72" s="181"/>
      <c r="AR72" s="183" t="str">
        <f>IF(LEN(TRIM('3 Освоение программы'!C126))=0," ",'3 Освоение программы'!C126)</f>
        <v xml:space="preserve"> </v>
      </c>
      <c r="AS72" s="183"/>
      <c r="AT72" s="183"/>
      <c r="AU72" s="183"/>
      <c r="AV72" s="183" t="str">
        <f>IF(LEN(TRIM('3 Освоение программы'!D126))=0," ",'3 Освоение программы'!D126)</f>
        <v xml:space="preserve"> </v>
      </c>
      <c r="AW72" s="183"/>
      <c r="AX72" s="183"/>
      <c r="AY72" s="183"/>
      <c r="AZ72" s="183"/>
      <c r="BA72" s="27"/>
    </row>
    <row r="73" spans="1:53" ht="9.9499999999999993" customHeight="1" x14ac:dyDescent="0.25">
      <c r="A73" s="91"/>
      <c r="B73" s="179" t="str">
        <f>IF(LEN(TRIM('3 Освоение программы'!B59))=0," ",'3 Освоение программы'!B59)</f>
        <v>Дисциплина 58</v>
      </c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80" t="str">
        <f>IF(LEN(TRIM('3 Освоение программы'!C59))=0," ",'3 Освоение программы'!C59)</f>
        <v>?? з.е.</v>
      </c>
      <c r="R73" s="180"/>
      <c r="S73" s="180"/>
      <c r="T73" s="180"/>
      <c r="U73" s="180"/>
      <c r="V73" s="180" t="str">
        <f>IF(LEN(TRIM('3 Освоение программы'!D59))=0," ",'3 Освоение программы'!D59)</f>
        <v>оценка</v>
      </c>
      <c r="W73" s="180"/>
      <c r="X73" s="180"/>
      <c r="Y73" s="180"/>
      <c r="Z73" s="180"/>
      <c r="AA73" s="180"/>
      <c r="AB73" s="90"/>
      <c r="AC73" s="90"/>
      <c r="AD73" s="90"/>
      <c r="AE73" s="181" t="str">
        <f>IF(LEN(TRIM('3 Освоение программы'!B127))=0," ",'3 Освоение программы'!B127)</f>
        <v xml:space="preserve"> </v>
      </c>
      <c r="AF73" s="181"/>
      <c r="AG73" s="181"/>
      <c r="AH73" s="181"/>
      <c r="AI73" s="181"/>
      <c r="AJ73" s="181"/>
      <c r="AK73" s="181"/>
      <c r="AL73" s="181"/>
      <c r="AM73" s="181"/>
      <c r="AN73" s="181"/>
      <c r="AO73" s="181"/>
      <c r="AP73" s="181"/>
      <c r="AQ73" s="181"/>
      <c r="AR73" s="183" t="str">
        <f>IF(LEN(TRIM('3 Освоение программы'!C127))=0," ",'3 Освоение программы'!C127)</f>
        <v xml:space="preserve"> </v>
      </c>
      <c r="AS73" s="183"/>
      <c r="AT73" s="183"/>
      <c r="AU73" s="183"/>
      <c r="AV73" s="183" t="str">
        <f>IF(LEN(TRIM('3 Освоение программы'!D127))=0," ",'3 Освоение программы'!D127)</f>
        <v xml:space="preserve"> </v>
      </c>
      <c r="AW73" s="183"/>
      <c r="AX73" s="183"/>
      <c r="AY73" s="183"/>
      <c r="AZ73" s="183"/>
      <c r="BA73" s="27"/>
    </row>
    <row r="74" spans="1:53" ht="9.9499999999999993" customHeight="1" x14ac:dyDescent="0.25">
      <c r="A74" s="91"/>
      <c r="B74" s="179" t="str">
        <f>IF(LEN(TRIM('3 Освоение программы'!B60))=0," ",'3 Освоение программы'!B60)</f>
        <v>Дисциплина 59</v>
      </c>
      <c r="C74" s="179"/>
      <c r="D74" s="179"/>
      <c r="E74" s="179"/>
      <c r="F74" s="179"/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180" t="str">
        <f>IF(LEN(TRIM('3 Освоение программы'!C60))=0," ",'3 Освоение программы'!C60)</f>
        <v>?? з.е.</v>
      </c>
      <c r="R74" s="180"/>
      <c r="S74" s="180"/>
      <c r="T74" s="180"/>
      <c r="U74" s="180"/>
      <c r="V74" s="180" t="str">
        <f>IF(LEN(TRIM('3 Освоение программы'!D60))=0," ",'3 Освоение программы'!D60)</f>
        <v>оценка</v>
      </c>
      <c r="W74" s="180"/>
      <c r="X74" s="180"/>
      <c r="Y74" s="180"/>
      <c r="Z74" s="180"/>
      <c r="AA74" s="180"/>
      <c r="AB74" s="90"/>
      <c r="AC74" s="90"/>
      <c r="AD74" s="90"/>
      <c r="AE74" s="181" t="str">
        <f>IF(LEN(TRIM('3 Освоение программы'!B128))=0," ",'3 Освоение программы'!B128)</f>
        <v xml:space="preserve"> </v>
      </c>
      <c r="AF74" s="181"/>
      <c r="AG74" s="181"/>
      <c r="AH74" s="181"/>
      <c r="AI74" s="181"/>
      <c r="AJ74" s="181"/>
      <c r="AK74" s="181"/>
      <c r="AL74" s="181"/>
      <c r="AM74" s="181"/>
      <c r="AN74" s="181"/>
      <c r="AO74" s="181"/>
      <c r="AP74" s="181"/>
      <c r="AQ74" s="181"/>
      <c r="AR74" s="183" t="str">
        <f>IF(LEN(TRIM('3 Освоение программы'!C128))=0," ",'3 Освоение программы'!C128)</f>
        <v xml:space="preserve"> </v>
      </c>
      <c r="AS74" s="183"/>
      <c r="AT74" s="183"/>
      <c r="AU74" s="183"/>
      <c r="AV74" s="183" t="str">
        <f>IF(LEN(TRIM('3 Освоение программы'!D128))=0," ",'3 Освоение программы'!D128)</f>
        <v xml:space="preserve"> </v>
      </c>
      <c r="AW74" s="183"/>
      <c r="AX74" s="183"/>
      <c r="AY74" s="183"/>
      <c r="AZ74" s="183"/>
      <c r="BA74" s="27"/>
    </row>
    <row r="75" spans="1:53" ht="9.9499999999999993" customHeight="1" x14ac:dyDescent="0.25">
      <c r="A75" s="91"/>
      <c r="B75" s="179" t="str">
        <f>IF(LEN(TRIM('3 Освоение программы'!B61))=0," ",'3 Освоение программы'!B61)</f>
        <v>Дисциплина 60</v>
      </c>
      <c r="C75" s="179"/>
      <c r="D75" s="179"/>
      <c r="E75" s="179"/>
      <c r="F75" s="179"/>
      <c r="G75" s="179"/>
      <c r="H75" s="179"/>
      <c r="I75" s="179"/>
      <c r="J75" s="179"/>
      <c r="K75" s="179"/>
      <c r="L75" s="179"/>
      <c r="M75" s="179"/>
      <c r="N75" s="179"/>
      <c r="O75" s="179"/>
      <c r="P75" s="179"/>
      <c r="Q75" s="180" t="str">
        <f>IF(LEN(TRIM('3 Освоение программы'!C61))=0," ",'3 Освоение программы'!C61)</f>
        <v>?? з.е.</v>
      </c>
      <c r="R75" s="180"/>
      <c r="S75" s="180"/>
      <c r="T75" s="180"/>
      <c r="U75" s="180"/>
      <c r="V75" s="180" t="str">
        <f>IF(LEN(TRIM('3 Освоение программы'!D61))=0," ",'3 Освоение программы'!D61)</f>
        <v>оценка</v>
      </c>
      <c r="W75" s="180"/>
      <c r="X75" s="180"/>
      <c r="Y75" s="180"/>
      <c r="Z75" s="180"/>
      <c r="AA75" s="180"/>
      <c r="AB75" s="90"/>
      <c r="AC75" s="90"/>
      <c r="AD75" s="90"/>
      <c r="AE75" s="181" t="str">
        <f>IF(LEN(TRIM('3 Освоение программы'!B129))=0," ",'3 Освоение программы'!B129)</f>
        <v xml:space="preserve"> </v>
      </c>
      <c r="AF75" s="181"/>
      <c r="AG75" s="181"/>
      <c r="AH75" s="181"/>
      <c r="AI75" s="181"/>
      <c r="AJ75" s="181"/>
      <c r="AK75" s="181"/>
      <c r="AL75" s="181"/>
      <c r="AM75" s="181"/>
      <c r="AN75" s="181"/>
      <c r="AO75" s="181"/>
      <c r="AP75" s="181"/>
      <c r="AQ75" s="181"/>
      <c r="AR75" s="183" t="str">
        <f>IF(LEN(TRIM('3 Освоение программы'!C129))=0," ",'3 Освоение программы'!C129)</f>
        <v xml:space="preserve"> </v>
      </c>
      <c r="AS75" s="183"/>
      <c r="AT75" s="183"/>
      <c r="AU75" s="183"/>
      <c r="AV75" s="183" t="str">
        <f>IF(LEN(TRIM('3 Освоение программы'!D129))=0," ",'3 Освоение программы'!D129)</f>
        <v xml:space="preserve"> </v>
      </c>
      <c r="AW75" s="183"/>
      <c r="AX75" s="183"/>
      <c r="AY75" s="183"/>
      <c r="AZ75" s="183"/>
      <c r="BA75" s="27"/>
    </row>
    <row r="76" spans="1:53" ht="9.9499999999999993" customHeight="1" x14ac:dyDescent="0.25">
      <c r="A76" s="91"/>
      <c r="B76" s="179" t="str">
        <f>IF(LEN(TRIM('3 Освоение программы'!B62))=0," ",'3 Освоение программы'!B62)</f>
        <v>Дисциплина 61</v>
      </c>
      <c r="C76" s="179"/>
      <c r="D76" s="179"/>
      <c r="E76" s="179"/>
      <c r="F76" s="179"/>
      <c r="G76" s="179"/>
      <c r="H76" s="179"/>
      <c r="I76" s="179"/>
      <c r="J76" s="179"/>
      <c r="K76" s="179"/>
      <c r="L76" s="179"/>
      <c r="M76" s="179"/>
      <c r="N76" s="179"/>
      <c r="O76" s="179"/>
      <c r="P76" s="179"/>
      <c r="Q76" s="180" t="str">
        <f>IF(LEN(TRIM('3 Освоение программы'!C62))=0," ",'3 Освоение программы'!C62)</f>
        <v>?? з.е.</v>
      </c>
      <c r="R76" s="180"/>
      <c r="S76" s="180"/>
      <c r="T76" s="180"/>
      <c r="U76" s="180"/>
      <c r="V76" s="180" t="str">
        <f>IF(LEN(TRIM('3 Освоение программы'!D62))=0," ",'3 Освоение программы'!D62)</f>
        <v>оценка</v>
      </c>
      <c r="W76" s="180"/>
      <c r="X76" s="180"/>
      <c r="Y76" s="180"/>
      <c r="Z76" s="180"/>
      <c r="AA76" s="180"/>
      <c r="AB76" s="90"/>
      <c r="AC76" s="90"/>
      <c r="AD76" s="90"/>
      <c r="AE76" s="181" t="str">
        <f>IF(LEN(TRIM('3 Освоение программы'!B130))=0," ",'3 Освоение программы'!B130)</f>
        <v xml:space="preserve"> </v>
      </c>
      <c r="AF76" s="181"/>
      <c r="AG76" s="181"/>
      <c r="AH76" s="181"/>
      <c r="AI76" s="181"/>
      <c r="AJ76" s="181"/>
      <c r="AK76" s="181"/>
      <c r="AL76" s="181"/>
      <c r="AM76" s="181"/>
      <c r="AN76" s="181"/>
      <c r="AO76" s="181"/>
      <c r="AP76" s="181"/>
      <c r="AQ76" s="181"/>
      <c r="AR76" s="183" t="str">
        <f>IF(LEN(TRIM('3 Освоение программы'!C130))=0," ",'3 Освоение программы'!C130)</f>
        <v xml:space="preserve"> </v>
      </c>
      <c r="AS76" s="183"/>
      <c r="AT76" s="183"/>
      <c r="AU76" s="183"/>
      <c r="AV76" s="183" t="str">
        <f>IF(LEN(TRIM('3 Освоение программы'!D130))=0," ",'3 Освоение программы'!D130)</f>
        <v xml:space="preserve"> </v>
      </c>
      <c r="AW76" s="183"/>
      <c r="AX76" s="183"/>
      <c r="AY76" s="183"/>
      <c r="AZ76" s="183"/>
      <c r="BA76" s="27"/>
    </row>
    <row r="77" spans="1:53" ht="9.9499999999999993" customHeight="1" x14ac:dyDescent="0.25">
      <c r="A77" s="91"/>
      <c r="B77" s="179" t="str">
        <f>IF(LEN(TRIM('3 Освоение программы'!B63))=0," ",'3 Освоение программы'!B63)</f>
        <v>Дисциплина 62</v>
      </c>
      <c r="C77" s="179"/>
      <c r="D77" s="179"/>
      <c r="E77" s="179"/>
      <c r="F77" s="179"/>
      <c r="G77" s="179"/>
      <c r="H77" s="179"/>
      <c r="I77" s="179"/>
      <c r="J77" s="179"/>
      <c r="K77" s="179"/>
      <c r="L77" s="179"/>
      <c r="M77" s="179"/>
      <c r="N77" s="179"/>
      <c r="O77" s="179"/>
      <c r="P77" s="179"/>
      <c r="Q77" s="180" t="str">
        <f>IF(LEN(TRIM('3 Освоение программы'!C63))=0," ",'3 Освоение программы'!C63)</f>
        <v>?? з.е.</v>
      </c>
      <c r="R77" s="180"/>
      <c r="S77" s="180"/>
      <c r="T77" s="180"/>
      <c r="U77" s="180"/>
      <c r="V77" s="180" t="str">
        <f>IF(LEN(TRIM('3 Освоение программы'!D63))=0," ",'3 Освоение программы'!D63)</f>
        <v>оценка</v>
      </c>
      <c r="W77" s="180"/>
      <c r="X77" s="180"/>
      <c r="Y77" s="180"/>
      <c r="Z77" s="180"/>
      <c r="AA77" s="180"/>
      <c r="AB77" s="90"/>
      <c r="AC77" s="90"/>
      <c r="AD77" s="90"/>
      <c r="AE77" s="181" t="str">
        <f>IF(LEN(TRIM('3 Освоение программы'!B131))=0," ",'3 Освоение программы'!B131)</f>
        <v xml:space="preserve"> </v>
      </c>
      <c r="AF77" s="181"/>
      <c r="AG77" s="181"/>
      <c r="AH77" s="181"/>
      <c r="AI77" s="181"/>
      <c r="AJ77" s="181"/>
      <c r="AK77" s="181"/>
      <c r="AL77" s="181"/>
      <c r="AM77" s="181"/>
      <c r="AN77" s="181"/>
      <c r="AO77" s="181"/>
      <c r="AP77" s="181"/>
      <c r="AQ77" s="181"/>
      <c r="AR77" s="183" t="str">
        <f>IF(LEN(TRIM('3 Освоение программы'!C131))=0," ",'3 Освоение программы'!C131)</f>
        <v xml:space="preserve"> </v>
      </c>
      <c r="AS77" s="183"/>
      <c r="AT77" s="183"/>
      <c r="AU77" s="183"/>
      <c r="AV77" s="183" t="str">
        <f>IF(LEN(TRIM('3 Освоение программы'!D131))=0," ",'3 Освоение программы'!D131)</f>
        <v xml:space="preserve"> </v>
      </c>
      <c r="AW77" s="183"/>
      <c r="AX77" s="183"/>
      <c r="AY77" s="183"/>
      <c r="AZ77" s="183"/>
      <c r="BA77" s="27"/>
    </row>
    <row r="78" spans="1:53" ht="9.9499999999999993" customHeight="1" x14ac:dyDescent="0.25">
      <c r="A78" s="91"/>
      <c r="B78" s="179" t="str">
        <f>IF(LEN(TRIM('3 Освоение программы'!B64))=0," ",'3 Освоение программы'!B64)</f>
        <v>Дисциплина 63</v>
      </c>
      <c r="C78" s="179"/>
      <c r="D78" s="179"/>
      <c r="E78" s="179"/>
      <c r="F78" s="179"/>
      <c r="G78" s="179"/>
      <c r="H78" s="179"/>
      <c r="I78" s="179"/>
      <c r="J78" s="179"/>
      <c r="K78" s="179"/>
      <c r="L78" s="179"/>
      <c r="M78" s="179"/>
      <c r="N78" s="179"/>
      <c r="O78" s="179"/>
      <c r="P78" s="179"/>
      <c r="Q78" s="180" t="str">
        <f>IF(LEN(TRIM('3 Освоение программы'!C64))=0," ",'3 Освоение программы'!C64)</f>
        <v>?? з.е.</v>
      </c>
      <c r="R78" s="180"/>
      <c r="S78" s="180"/>
      <c r="T78" s="180"/>
      <c r="U78" s="180"/>
      <c r="V78" s="180" t="str">
        <f>IF(LEN(TRIM('3 Освоение программы'!D64))=0," ",'3 Освоение программы'!D64)</f>
        <v>оценка</v>
      </c>
      <c r="W78" s="180"/>
      <c r="X78" s="180"/>
      <c r="Y78" s="180"/>
      <c r="Z78" s="180"/>
      <c r="AA78" s="180"/>
      <c r="AB78" s="90"/>
      <c r="AC78" s="90"/>
      <c r="AD78" s="90"/>
      <c r="AE78" s="181" t="str">
        <f>IF(LEN(TRIM('3 Освоение программы'!B132))=0," ",'3 Освоение программы'!B132)</f>
        <v xml:space="preserve"> </v>
      </c>
      <c r="AF78" s="181"/>
      <c r="AG78" s="181"/>
      <c r="AH78" s="181"/>
      <c r="AI78" s="181"/>
      <c r="AJ78" s="181"/>
      <c r="AK78" s="181"/>
      <c r="AL78" s="181"/>
      <c r="AM78" s="181"/>
      <c r="AN78" s="181"/>
      <c r="AO78" s="181"/>
      <c r="AP78" s="181"/>
      <c r="AQ78" s="181"/>
      <c r="AR78" s="183" t="str">
        <f>IF(LEN(TRIM('3 Освоение программы'!C132))=0," ",'3 Освоение программы'!C132)</f>
        <v xml:space="preserve"> </v>
      </c>
      <c r="AS78" s="183"/>
      <c r="AT78" s="183"/>
      <c r="AU78" s="183"/>
      <c r="AV78" s="183" t="str">
        <f>IF(LEN(TRIM('3 Освоение программы'!D132))=0," ",'3 Освоение программы'!D132)</f>
        <v xml:space="preserve"> </v>
      </c>
      <c r="AW78" s="183"/>
      <c r="AX78" s="183"/>
      <c r="AY78" s="183"/>
      <c r="AZ78" s="183"/>
      <c r="BA78" s="27"/>
    </row>
    <row r="79" spans="1:53" ht="9.9499999999999993" customHeight="1" x14ac:dyDescent="0.25">
      <c r="A79" s="91"/>
      <c r="B79" s="179" t="str">
        <f>IF(LEN(TRIM('3 Освоение программы'!B65))=0," ",'3 Освоение программы'!B65)</f>
        <v>Дисциплина 64</v>
      </c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80" t="str">
        <f>IF(LEN(TRIM('3 Освоение программы'!C65))=0," ",'3 Освоение программы'!C65)</f>
        <v>?? з.е.</v>
      </c>
      <c r="R79" s="180"/>
      <c r="S79" s="180"/>
      <c r="T79" s="180"/>
      <c r="U79" s="180"/>
      <c r="V79" s="180" t="str">
        <f>IF(LEN(TRIM('3 Освоение программы'!D65))=0," ",'3 Освоение программы'!D65)</f>
        <v>оценка</v>
      </c>
      <c r="W79" s="180"/>
      <c r="X79" s="180"/>
      <c r="Y79" s="180"/>
      <c r="Z79" s="180"/>
      <c r="AA79" s="180"/>
      <c r="AB79" s="90"/>
      <c r="AC79" s="90"/>
      <c r="AD79" s="90"/>
      <c r="AE79" s="181" t="str">
        <f>IF(LEN(TRIM('3 Освоение программы'!B133))=0," ",'3 Освоение программы'!B133)</f>
        <v xml:space="preserve"> </v>
      </c>
      <c r="AF79" s="181"/>
      <c r="AG79" s="181"/>
      <c r="AH79" s="181"/>
      <c r="AI79" s="181"/>
      <c r="AJ79" s="181"/>
      <c r="AK79" s="181"/>
      <c r="AL79" s="181"/>
      <c r="AM79" s="181"/>
      <c r="AN79" s="181"/>
      <c r="AO79" s="181"/>
      <c r="AP79" s="181"/>
      <c r="AQ79" s="181"/>
      <c r="AR79" s="183" t="str">
        <f>IF(LEN(TRIM('3 Освоение программы'!C133))=0," ",'3 Освоение программы'!C133)</f>
        <v xml:space="preserve"> </v>
      </c>
      <c r="AS79" s="183"/>
      <c r="AT79" s="183"/>
      <c r="AU79" s="183"/>
      <c r="AV79" s="183" t="str">
        <f>IF(LEN(TRIM('3 Освоение программы'!D133))=0," ",'3 Освоение программы'!D133)</f>
        <v xml:space="preserve"> </v>
      </c>
      <c r="AW79" s="183"/>
      <c r="AX79" s="183"/>
      <c r="AY79" s="183"/>
      <c r="AZ79" s="183"/>
      <c r="BA79" s="27"/>
    </row>
    <row r="80" spans="1:53" ht="9.9499999999999993" customHeight="1" x14ac:dyDescent="0.25">
      <c r="A80" s="91"/>
      <c r="B80" s="179" t="str">
        <f>IF(LEN(TRIM('3 Освоение программы'!B66))=0," ",'3 Освоение программы'!B66)</f>
        <v>Дисциплина 65</v>
      </c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80" t="str">
        <f>IF(LEN(TRIM('3 Освоение программы'!C66))=0," ",'3 Освоение программы'!C66)</f>
        <v>?? з.е.</v>
      </c>
      <c r="R80" s="180"/>
      <c r="S80" s="180"/>
      <c r="T80" s="180"/>
      <c r="U80" s="180"/>
      <c r="V80" s="180" t="str">
        <f>IF(LEN(TRIM('3 Освоение программы'!D66))=0," ",'3 Освоение программы'!D66)</f>
        <v>оценка</v>
      </c>
      <c r="W80" s="180"/>
      <c r="X80" s="180"/>
      <c r="Y80" s="180"/>
      <c r="Z80" s="180"/>
      <c r="AA80" s="180"/>
      <c r="AB80" s="90"/>
      <c r="AC80" s="90"/>
      <c r="AD80" s="90"/>
      <c r="AE80" s="181" t="str">
        <f>IF(LEN(TRIM('3 Освоение программы'!B134))=0," ",'3 Освоение программы'!B134)</f>
        <v xml:space="preserve"> </v>
      </c>
      <c r="AF80" s="181"/>
      <c r="AG80" s="181"/>
      <c r="AH80" s="181"/>
      <c r="AI80" s="181"/>
      <c r="AJ80" s="181"/>
      <c r="AK80" s="181"/>
      <c r="AL80" s="181"/>
      <c r="AM80" s="181"/>
      <c r="AN80" s="181"/>
      <c r="AO80" s="181"/>
      <c r="AP80" s="181"/>
      <c r="AQ80" s="181"/>
      <c r="AR80" s="183" t="str">
        <f>IF(LEN(TRIM('3 Освоение программы'!C134))=0," ",'3 Освоение программы'!C134)</f>
        <v xml:space="preserve"> </v>
      </c>
      <c r="AS80" s="183"/>
      <c r="AT80" s="183"/>
      <c r="AU80" s="183"/>
      <c r="AV80" s="183" t="str">
        <f>IF(LEN(TRIM('3 Освоение программы'!D134))=0," ",'3 Освоение программы'!D134)</f>
        <v xml:space="preserve"> </v>
      </c>
      <c r="AW80" s="183"/>
      <c r="AX80" s="183"/>
      <c r="AY80" s="183"/>
      <c r="AZ80" s="183"/>
      <c r="BA80" s="27"/>
    </row>
    <row r="81" spans="1:53" ht="9.9499999999999993" customHeight="1" x14ac:dyDescent="0.25">
      <c r="A81" s="91"/>
      <c r="B81" s="179" t="str">
        <f>IF(LEN(TRIM('3 Освоение программы'!B67))=0," ",'3 Освоение программы'!B67)</f>
        <v>Дисциплина 66</v>
      </c>
      <c r="C81" s="179"/>
      <c r="D81" s="179"/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80" t="str">
        <f>IF(LEN(TRIM('3 Освоение программы'!C67))=0," ",'3 Освоение программы'!C67)</f>
        <v>?? з.е.</v>
      </c>
      <c r="R81" s="180"/>
      <c r="S81" s="180"/>
      <c r="T81" s="180"/>
      <c r="U81" s="180"/>
      <c r="V81" s="180" t="str">
        <f>IF(LEN(TRIM('3 Освоение программы'!D67))=0," ",'3 Освоение программы'!D67)</f>
        <v>оценка</v>
      </c>
      <c r="W81" s="180"/>
      <c r="X81" s="180"/>
      <c r="Y81" s="180"/>
      <c r="Z81" s="180"/>
      <c r="AA81" s="180"/>
      <c r="AB81" s="90"/>
      <c r="AC81" s="90"/>
      <c r="AD81" s="90"/>
      <c r="AE81" s="181" t="str">
        <f>IF(LEN(TRIM('3 Освоение программы'!B135))=0," ",'3 Освоение программы'!B135)</f>
        <v xml:space="preserve"> </v>
      </c>
      <c r="AF81" s="181"/>
      <c r="AG81" s="181"/>
      <c r="AH81" s="181"/>
      <c r="AI81" s="181"/>
      <c r="AJ81" s="181"/>
      <c r="AK81" s="181"/>
      <c r="AL81" s="181"/>
      <c r="AM81" s="181"/>
      <c r="AN81" s="181"/>
      <c r="AO81" s="181"/>
      <c r="AP81" s="181"/>
      <c r="AQ81" s="181"/>
      <c r="AR81" s="183" t="str">
        <f>IF(LEN(TRIM('3 Освоение программы'!C135))=0," ",'3 Освоение программы'!C135)</f>
        <v xml:space="preserve"> </v>
      </c>
      <c r="AS81" s="183"/>
      <c r="AT81" s="183"/>
      <c r="AU81" s="183"/>
      <c r="AV81" s="183" t="str">
        <f>IF(LEN(TRIM('3 Освоение программы'!D135))=0," ",'3 Освоение программы'!D135)</f>
        <v xml:space="preserve"> </v>
      </c>
      <c r="AW81" s="183"/>
      <c r="AX81" s="183"/>
      <c r="AY81" s="183"/>
      <c r="AZ81" s="183"/>
      <c r="BA81" s="133"/>
    </row>
    <row r="82" spans="1:53" ht="9.9499999999999993" customHeight="1" x14ac:dyDescent="0.25">
      <c r="A82" s="91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1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2"/>
      <c r="AX82" s="92"/>
      <c r="AY82" s="92"/>
      <c r="AZ82" s="92"/>
      <c r="BA82" s="27"/>
    </row>
    <row r="83" spans="1:53" ht="9.9499999999999993" customHeight="1" x14ac:dyDescent="0.25">
      <c r="A83" s="91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1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27"/>
    </row>
    <row r="84" spans="1:53" x14ac:dyDescent="0.2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28"/>
    </row>
  </sheetData>
  <sheetProtection password="DBF4" sheet="1" objects="1" scenarios="1"/>
  <mergeCells count="408">
    <mergeCell ref="AR81:AU81"/>
    <mergeCell ref="AV81:AZ81"/>
    <mergeCell ref="AE73:AQ73"/>
    <mergeCell ref="AE74:AQ74"/>
    <mergeCell ref="AE75:AQ75"/>
    <mergeCell ref="AE76:AQ76"/>
    <mergeCell ref="AE77:AQ77"/>
    <mergeCell ref="AE78:AQ78"/>
    <mergeCell ref="AE79:AQ79"/>
    <mergeCell ref="AE80:AQ80"/>
    <mergeCell ref="AE81:AQ81"/>
    <mergeCell ref="AR80:AU80"/>
    <mergeCell ref="AR79:AU79"/>
    <mergeCell ref="AV76:AZ76"/>
    <mergeCell ref="AV77:AZ77"/>
    <mergeCell ref="AR77:AU77"/>
    <mergeCell ref="AR76:AU76"/>
    <mergeCell ref="AR75:AU75"/>
    <mergeCell ref="AR74:AU74"/>
    <mergeCell ref="AV74:AZ74"/>
    <mergeCell ref="AV75:AZ75"/>
    <mergeCell ref="AV78:AZ78"/>
    <mergeCell ref="AV79:AZ79"/>
    <mergeCell ref="AV80:AZ80"/>
    <mergeCell ref="B78:P78"/>
    <mergeCell ref="B79:P79"/>
    <mergeCell ref="B80:P80"/>
    <mergeCell ref="AE13:AQ13"/>
    <mergeCell ref="AE17:AQ17"/>
    <mergeCell ref="AE18:AQ18"/>
    <mergeCell ref="AE19:AQ19"/>
    <mergeCell ref="AE20:AQ20"/>
    <mergeCell ref="AE21:AQ21"/>
    <mergeCell ref="AE22:AQ22"/>
    <mergeCell ref="AE23:AQ23"/>
    <mergeCell ref="AE24:AQ24"/>
    <mergeCell ref="AE25:AQ25"/>
    <mergeCell ref="AE26:AQ26"/>
    <mergeCell ref="AE27:AQ27"/>
    <mergeCell ref="AE28:AQ28"/>
    <mergeCell ref="AE46:AQ46"/>
    <mergeCell ref="AE65:AQ65"/>
    <mergeCell ref="V70:AA70"/>
    <mergeCell ref="V71:AA71"/>
    <mergeCell ref="V72:AA72"/>
    <mergeCell ref="Q72:U72"/>
    <mergeCell ref="Q73:U73"/>
    <mergeCell ref="Q74:U74"/>
    <mergeCell ref="Q75:U75"/>
    <mergeCell ref="Q76:U76"/>
    <mergeCell ref="Q77:U77"/>
    <mergeCell ref="V75:AA75"/>
    <mergeCell ref="V76:AA76"/>
    <mergeCell ref="V77:AA77"/>
    <mergeCell ref="B74:P74"/>
    <mergeCell ref="B75:P75"/>
    <mergeCell ref="B76:P76"/>
    <mergeCell ref="B77:P77"/>
    <mergeCell ref="B73:P73"/>
    <mergeCell ref="B70:P70"/>
    <mergeCell ref="B71:P71"/>
    <mergeCell ref="B72:P72"/>
    <mergeCell ref="B52:P52"/>
    <mergeCell ref="B53:P53"/>
    <mergeCell ref="B54:P54"/>
    <mergeCell ref="B55:P55"/>
    <mergeCell ref="B56:P56"/>
    <mergeCell ref="B57:P57"/>
    <mergeCell ref="B58:P58"/>
    <mergeCell ref="B59:P59"/>
    <mergeCell ref="B60:P60"/>
    <mergeCell ref="B66:P66"/>
    <mergeCell ref="B67:P67"/>
    <mergeCell ref="B68:P68"/>
    <mergeCell ref="B69:P69"/>
    <mergeCell ref="B61:P61"/>
    <mergeCell ref="B62:P62"/>
    <mergeCell ref="B63:P63"/>
    <mergeCell ref="B64:P64"/>
    <mergeCell ref="B65:P65"/>
    <mergeCell ref="B35:P35"/>
    <mergeCell ref="B36:P36"/>
    <mergeCell ref="B37:P37"/>
    <mergeCell ref="B38:P38"/>
    <mergeCell ref="B39:P39"/>
    <mergeCell ref="B50:P50"/>
    <mergeCell ref="B51:P51"/>
    <mergeCell ref="B40:P40"/>
    <mergeCell ref="B41:P41"/>
    <mergeCell ref="B44:P44"/>
    <mergeCell ref="B45:P45"/>
    <mergeCell ref="B46:P46"/>
    <mergeCell ref="B47:P47"/>
    <mergeCell ref="B48:P48"/>
    <mergeCell ref="B49:P49"/>
    <mergeCell ref="B34:P34"/>
    <mergeCell ref="AR25:AU25"/>
    <mergeCell ref="AR24:AU24"/>
    <mergeCell ref="B24:P24"/>
    <mergeCell ref="B25:P25"/>
    <mergeCell ref="AR27:AU27"/>
    <mergeCell ref="AR26:AU26"/>
    <mergeCell ref="B26:P26"/>
    <mergeCell ref="B27:P27"/>
    <mergeCell ref="B32:P32"/>
    <mergeCell ref="AE32:AQ32"/>
    <mergeCell ref="Q30:U30"/>
    <mergeCell ref="Q31:U31"/>
    <mergeCell ref="V32:AA32"/>
    <mergeCell ref="V33:AA33"/>
    <mergeCell ref="AE33:AQ33"/>
    <mergeCell ref="AR29:AU29"/>
    <mergeCell ref="AR28:AU28"/>
    <mergeCell ref="AE29:AQ29"/>
    <mergeCell ref="AR31:AU31"/>
    <mergeCell ref="AR30:AU30"/>
    <mergeCell ref="AE30:AQ30"/>
    <mergeCell ref="AE31:AQ31"/>
    <mergeCell ref="B29:P29"/>
    <mergeCell ref="AR15:AU15"/>
    <mergeCell ref="AR13:AU13"/>
    <mergeCell ref="AR14:AU14"/>
    <mergeCell ref="AR16:AU16"/>
    <mergeCell ref="AR17:AU17"/>
    <mergeCell ref="AR18:AU18"/>
    <mergeCell ref="B33:P33"/>
    <mergeCell ref="B20:P20"/>
    <mergeCell ref="B21:P21"/>
    <mergeCell ref="AR23:AU23"/>
    <mergeCell ref="AR22:AU22"/>
    <mergeCell ref="B22:P22"/>
    <mergeCell ref="B23:P23"/>
    <mergeCell ref="AR19:AU19"/>
    <mergeCell ref="AR20:AU20"/>
    <mergeCell ref="AR21:AU21"/>
    <mergeCell ref="AR33:AU33"/>
    <mergeCell ref="AR32:AU32"/>
    <mergeCell ref="B15:P15"/>
    <mergeCell ref="Q15:T15"/>
    <mergeCell ref="V15:Z15"/>
    <mergeCell ref="Q16:U16"/>
    <mergeCell ref="Q17:U17"/>
    <mergeCell ref="Q18:U18"/>
    <mergeCell ref="AR37:AU37"/>
    <mergeCell ref="AR36:AU36"/>
    <mergeCell ref="AE36:AQ36"/>
    <mergeCell ref="AE37:AQ37"/>
    <mergeCell ref="Q40:U40"/>
    <mergeCell ref="Q34:U34"/>
    <mergeCell ref="Q35:U35"/>
    <mergeCell ref="Q36:U36"/>
    <mergeCell ref="Q37:U37"/>
    <mergeCell ref="V36:AA36"/>
    <mergeCell ref="V37:AA37"/>
    <mergeCell ref="AR35:AU35"/>
    <mergeCell ref="AR34:AU34"/>
    <mergeCell ref="AE34:AQ34"/>
    <mergeCell ref="AE35:AQ35"/>
    <mergeCell ref="Q41:U41"/>
    <mergeCell ref="Q42:U42"/>
    <mergeCell ref="Q43:U43"/>
    <mergeCell ref="V40:AA40"/>
    <mergeCell ref="V41:AA41"/>
    <mergeCell ref="V42:AA42"/>
    <mergeCell ref="V43:AA43"/>
    <mergeCell ref="AR38:AU38"/>
    <mergeCell ref="AE38:AQ38"/>
    <mergeCell ref="AE39:AQ39"/>
    <mergeCell ref="AR41:AU41"/>
    <mergeCell ref="AR40:AU40"/>
    <mergeCell ref="Q38:U38"/>
    <mergeCell ref="Q39:U39"/>
    <mergeCell ref="V39:AA39"/>
    <mergeCell ref="AE40:AQ40"/>
    <mergeCell ref="AE41:AQ41"/>
    <mergeCell ref="V38:AA38"/>
    <mergeCell ref="V53:AA53"/>
    <mergeCell ref="AE49:AQ49"/>
    <mergeCell ref="AR43:AU43"/>
    <mergeCell ref="AR42:AU42"/>
    <mergeCell ref="B42:P42"/>
    <mergeCell ref="B43:P43"/>
    <mergeCell ref="AE42:AQ42"/>
    <mergeCell ref="AE43:AQ43"/>
    <mergeCell ref="AE47:AQ47"/>
    <mergeCell ref="AE48:AQ48"/>
    <mergeCell ref="Q44:U44"/>
    <mergeCell ref="Q45:U45"/>
    <mergeCell ref="Q46:U46"/>
    <mergeCell ref="Q47:U47"/>
    <mergeCell ref="Q48:U48"/>
    <mergeCell ref="Q49:U49"/>
    <mergeCell ref="V44:AA44"/>
    <mergeCell ref="V45:AA45"/>
    <mergeCell ref="V46:AA46"/>
    <mergeCell ref="V47:AA47"/>
    <mergeCell ref="V48:AA48"/>
    <mergeCell ref="V49:AA49"/>
    <mergeCell ref="AE44:AQ44"/>
    <mergeCell ref="AE45:AQ45"/>
    <mergeCell ref="AV72:AZ72"/>
    <mergeCell ref="AE70:AQ70"/>
    <mergeCell ref="V64:AA64"/>
    <mergeCell ref="V65:AA65"/>
    <mergeCell ref="Q65:U65"/>
    <mergeCell ref="Q66:U66"/>
    <mergeCell ref="Q56:U56"/>
    <mergeCell ref="Q57:U57"/>
    <mergeCell ref="Q58:U58"/>
    <mergeCell ref="Q59:U59"/>
    <mergeCell ref="Q60:U60"/>
    <mergeCell ref="Q61:U61"/>
    <mergeCell ref="Q62:U62"/>
    <mergeCell ref="Q63:U63"/>
    <mergeCell ref="Q64:U64"/>
    <mergeCell ref="AE60:AQ60"/>
    <mergeCell ref="AE61:AQ61"/>
    <mergeCell ref="AE56:AQ56"/>
    <mergeCell ref="AE57:AQ57"/>
    <mergeCell ref="AE58:AQ58"/>
    <mergeCell ref="AE62:AQ62"/>
    <mergeCell ref="AE63:AQ63"/>
    <mergeCell ref="V63:AA63"/>
    <mergeCell ref="AV59:AZ59"/>
    <mergeCell ref="AV31:AZ31"/>
    <mergeCell ref="AV32:AZ32"/>
    <mergeCell ref="AV33:AZ33"/>
    <mergeCell ref="AV64:AZ64"/>
    <mergeCell ref="AV65:AZ65"/>
    <mergeCell ref="AR65:AU65"/>
    <mergeCell ref="AR64:AU64"/>
    <mergeCell ref="AE69:AQ69"/>
    <mergeCell ref="AE64:AQ64"/>
    <mergeCell ref="AR50:AU50"/>
    <mergeCell ref="AV50:AZ50"/>
    <mergeCell ref="AV51:AZ51"/>
    <mergeCell ref="AR53:AU53"/>
    <mergeCell ref="AR52:AU52"/>
    <mergeCell ref="AV46:AZ46"/>
    <mergeCell ref="AV47:AZ47"/>
    <mergeCell ref="AE54:AQ54"/>
    <mergeCell ref="AE55:AQ55"/>
    <mergeCell ref="AR59:AU59"/>
    <mergeCell ref="AR58:AU58"/>
    <mergeCell ref="AV58:AZ58"/>
    <mergeCell ref="AR61:AU61"/>
    <mergeCell ref="AR60:AU60"/>
    <mergeCell ref="AR55:AU55"/>
    <mergeCell ref="AR78:AU78"/>
    <mergeCell ref="AV34:AZ34"/>
    <mergeCell ref="AV35:AZ35"/>
    <mergeCell ref="AV36:AZ36"/>
    <mergeCell ref="AV37:AZ37"/>
    <mergeCell ref="AV38:AZ38"/>
    <mergeCell ref="AV39:AZ39"/>
    <mergeCell ref="AV40:AZ40"/>
    <mergeCell ref="AV41:AZ41"/>
    <mergeCell ref="AV42:AZ42"/>
    <mergeCell ref="AV43:AZ43"/>
    <mergeCell ref="AV44:AZ44"/>
    <mergeCell ref="AV45:AZ45"/>
    <mergeCell ref="AV62:AZ62"/>
    <mergeCell ref="AV63:AZ63"/>
    <mergeCell ref="AV52:AZ52"/>
    <mergeCell ref="AV53:AZ53"/>
    <mergeCell ref="AR51:AU51"/>
    <mergeCell ref="AV60:AZ60"/>
    <mergeCell ref="AV61:AZ61"/>
    <mergeCell ref="AV54:AZ54"/>
    <mergeCell ref="AV55:AZ55"/>
    <mergeCell ref="AV49:AZ49"/>
    <mergeCell ref="AR47:AU47"/>
    <mergeCell ref="AV22:AZ22"/>
    <mergeCell ref="AV23:AZ23"/>
    <mergeCell ref="AV24:AZ24"/>
    <mergeCell ref="AV25:AZ25"/>
    <mergeCell ref="AV26:AZ26"/>
    <mergeCell ref="AV27:AZ27"/>
    <mergeCell ref="AV28:AZ28"/>
    <mergeCell ref="AV29:AZ29"/>
    <mergeCell ref="AV30:AZ30"/>
    <mergeCell ref="AV13:AZ13"/>
    <mergeCell ref="AV14:AZ14"/>
    <mergeCell ref="AV15:AZ15"/>
    <mergeCell ref="AV16:AZ16"/>
    <mergeCell ref="AV17:AZ17"/>
    <mergeCell ref="AV18:AZ18"/>
    <mergeCell ref="AV19:AZ19"/>
    <mergeCell ref="AV20:AZ20"/>
    <mergeCell ref="AV21:AZ21"/>
    <mergeCell ref="AV73:AZ73"/>
    <mergeCell ref="AR71:AU71"/>
    <mergeCell ref="AR73:AU73"/>
    <mergeCell ref="AR72:AU72"/>
    <mergeCell ref="AR39:AU39"/>
    <mergeCell ref="AV68:AZ68"/>
    <mergeCell ref="AV69:AZ69"/>
    <mergeCell ref="AR67:AU67"/>
    <mergeCell ref="AR66:AU66"/>
    <mergeCell ref="AV66:AZ66"/>
    <mergeCell ref="AV67:AZ67"/>
    <mergeCell ref="AR46:AU46"/>
    <mergeCell ref="AR44:AU44"/>
    <mergeCell ref="AR45:AU45"/>
    <mergeCell ref="AV48:AZ48"/>
    <mergeCell ref="AR49:AU49"/>
    <mergeCell ref="AR48:AU48"/>
    <mergeCell ref="AR70:AU70"/>
    <mergeCell ref="AV70:AZ70"/>
    <mergeCell ref="AV71:AZ71"/>
    <mergeCell ref="AR63:AU63"/>
    <mergeCell ref="AR62:AU62"/>
    <mergeCell ref="AV56:AZ56"/>
    <mergeCell ref="AV57:AZ57"/>
    <mergeCell ref="AR69:AU69"/>
    <mergeCell ref="AR68:AU68"/>
    <mergeCell ref="AE66:AQ66"/>
    <mergeCell ref="AE67:AQ67"/>
    <mergeCell ref="AE68:AQ68"/>
    <mergeCell ref="Q70:U70"/>
    <mergeCell ref="Q71:U71"/>
    <mergeCell ref="V34:AA34"/>
    <mergeCell ref="V35:AA35"/>
    <mergeCell ref="V66:AA66"/>
    <mergeCell ref="V67:AA67"/>
    <mergeCell ref="V68:AA68"/>
    <mergeCell ref="V69:AA69"/>
    <mergeCell ref="Q67:U67"/>
    <mergeCell ref="Q68:U68"/>
    <mergeCell ref="Q69:U69"/>
    <mergeCell ref="V54:AA54"/>
    <mergeCell ref="V55:AA55"/>
    <mergeCell ref="Q54:U54"/>
    <mergeCell ref="Q55:U55"/>
    <mergeCell ref="AR57:AU57"/>
    <mergeCell ref="AR56:AU56"/>
    <mergeCell ref="AE59:AQ59"/>
    <mergeCell ref="AR54:AU54"/>
    <mergeCell ref="B30:P30"/>
    <mergeCell ref="B31:P31"/>
    <mergeCell ref="Q29:U29"/>
    <mergeCell ref="Q23:U23"/>
    <mergeCell ref="Q24:U24"/>
    <mergeCell ref="Q25:U25"/>
    <mergeCell ref="Q26:U26"/>
    <mergeCell ref="V24:AA24"/>
    <mergeCell ref="V27:AA27"/>
    <mergeCell ref="V28:AA28"/>
    <mergeCell ref="V29:AA29"/>
    <mergeCell ref="V30:AA30"/>
    <mergeCell ref="V31:AA31"/>
    <mergeCell ref="A19:P19"/>
    <mergeCell ref="V19:AA19"/>
    <mergeCell ref="V20:AA20"/>
    <mergeCell ref="V21:AA21"/>
    <mergeCell ref="V22:AA22"/>
    <mergeCell ref="V23:AA23"/>
    <mergeCell ref="Q27:U27"/>
    <mergeCell ref="Q28:U28"/>
    <mergeCell ref="B28:P28"/>
    <mergeCell ref="AE14:AQ14"/>
    <mergeCell ref="AE16:AQ16"/>
    <mergeCell ref="AE15:AQ15"/>
    <mergeCell ref="V78:AA78"/>
    <mergeCell ref="V79:AA79"/>
    <mergeCell ref="V80:AA80"/>
    <mergeCell ref="V16:AA16"/>
    <mergeCell ref="V17:AA17"/>
    <mergeCell ref="V18:AA18"/>
    <mergeCell ref="V56:AA56"/>
    <mergeCell ref="V57:AA57"/>
    <mergeCell ref="V58:AA58"/>
    <mergeCell ref="V59:AA59"/>
    <mergeCell ref="V60:AA60"/>
    <mergeCell ref="V61:AA61"/>
    <mergeCell ref="V62:AA62"/>
    <mergeCell ref="V73:AA73"/>
    <mergeCell ref="V74:AA74"/>
    <mergeCell ref="AE71:AQ71"/>
    <mergeCell ref="AE72:AQ72"/>
    <mergeCell ref="AE50:AQ50"/>
    <mergeCell ref="AE51:AQ51"/>
    <mergeCell ref="AE52:AQ52"/>
    <mergeCell ref="AE53:AQ53"/>
    <mergeCell ref="B81:P81"/>
    <mergeCell ref="Q19:U19"/>
    <mergeCell ref="Q20:U20"/>
    <mergeCell ref="B16:P16"/>
    <mergeCell ref="B17:P17"/>
    <mergeCell ref="B18:P18"/>
    <mergeCell ref="Q33:U33"/>
    <mergeCell ref="V81:AA81"/>
    <mergeCell ref="Q78:U78"/>
    <mergeCell ref="Q79:U79"/>
    <mergeCell ref="Q80:U80"/>
    <mergeCell ref="Q81:U81"/>
    <mergeCell ref="Q50:U50"/>
    <mergeCell ref="Q51:U51"/>
    <mergeCell ref="Q52:U52"/>
    <mergeCell ref="Q53:U53"/>
    <mergeCell ref="V50:AA50"/>
    <mergeCell ref="V51:AA51"/>
    <mergeCell ref="V52:AA52"/>
    <mergeCell ref="Q21:U21"/>
    <mergeCell ref="Q22:U22"/>
    <mergeCell ref="Q32:U32"/>
    <mergeCell ref="V25:AA25"/>
    <mergeCell ref="V26:AA26"/>
  </mergeCells>
  <pageMargins left="0" right="0" top="0" bottom="0" header="0" footer="0"/>
  <pageSetup paperSize="8" fitToWidth="0" fitToHeight="0" orientation="landscape" r:id="rId1"/>
  <headerFooter scaleWithDoc="0"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>
    <tabColor rgb="FFFF0000"/>
  </sheetPr>
  <dimension ref="A1:DF171"/>
  <sheetViews>
    <sheetView zoomScale="70" zoomScaleNormal="70" workbookViewId="0">
      <selection activeCell="CF47" sqref="CF47"/>
    </sheetView>
  </sheetViews>
  <sheetFormatPr defaultRowHeight="15" x14ac:dyDescent="0.25"/>
  <cols>
    <col min="1" max="31" width="1.85546875" customWidth="1"/>
    <col min="32" max="37" width="1.85546875" style="1" customWidth="1"/>
    <col min="38" max="70" width="1.85546875" customWidth="1"/>
    <col min="71" max="71" width="1.85546875" style="1" customWidth="1"/>
    <col min="72" max="109" width="1.85546875" customWidth="1"/>
    <col min="110" max="110" width="2.28515625" customWidth="1"/>
  </cols>
  <sheetData>
    <row r="1" spans="1:110" ht="5.0999999999999996" customHeight="1" x14ac:dyDescent="0.25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  <c r="BM1" s="104"/>
      <c r="BN1" s="104"/>
      <c r="BO1" s="104"/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  <c r="CB1" s="104"/>
      <c r="CC1" s="104"/>
      <c r="CD1" s="104"/>
      <c r="CE1" s="104"/>
      <c r="CF1" s="104"/>
      <c r="CG1" s="104"/>
      <c r="CH1" s="104"/>
      <c r="CI1" s="104"/>
      <c r="CJ1" s="104"/>
      <c r="CK1" s="104"/>
      <c r="CL1" s="104"/>
      <c r="CM1" s="104"/>
      <c r="CN1" s="104"/>
      <c r="CO1" s="104"/>
      <c r="CP1" s="104"/>
      <c r="CQ1" s="104"/>
      <c r="CR1" s="104"/>
      <c r="CS1" s="104"/>
      <c r="CT1" s="104"/>
      <c r="CU1" s="104"/>
      <c r="CV1" s="104"/>
      <c r="CW1" s="104"/>
      <c r="CX1" s="104"/>
      <c r="CY1" s="104"/>
      <c r="CZ1" s="104"/>
      <c r="DA1" s="104"/>
      <c r="DB1" s="104"/>
      <c r="DC1" s="104"/>
      <c r="DD1" s="104"/>
      <c r="DE1" s="28"/>
      <c r="DF1" s="29"/>
    </row>
    <row r="2" spans="1:110" ht="5.0999999999999996" customHeight="1" x14ac:dyDescent="0.25">
      <c r="A2" s="192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104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104"/>
      <c r="DF2" s="29"/>
    </row>
    <row r="3" spans="1:110" ht="5.0999999999999996" customHeight="1" x14ac:dyDescent="0.25">
      <c r="A3" s="192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104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104"/>
      <c r="DF3" s="29"/>
    </row>
    <row r="4" spans="1:110" ht="5.0999999999999996" customHeight="1" x14ac:dyDescent="0.25">
      <c r="A4" s="192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104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104"/>
      <c r="DF4" s="29"/>
    </row>
    <row r="5" spans="1:110" ht="5.0999999999999996" customHeight="1" x14ac:dyDescent="0.25">
      <c r="A5" s="192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104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104"/>
      <c r="DF5" s="29"/>
    </row>
    <row r="6" spans="1:110" ht="5.0999999999999996" customHeight="1" x14ac:dyDescent="0.25">
      <c r="A6" s="192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108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104"/>
      <c r="DF6" s="29"/>
    </row>
    <row r="7" spans="1:110" ht="5.0999999999999996" customHeight="1" x14ac:dyDescent="0.25">
      <c r="A7" s="192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108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104"/>
      <c r="DF7" s="29"/>
    </row>
    <row r="8" spans="1:110" ht="5.0999999999999996" customHeight="1" x14ac:dyDescent="0.25">
      <c r="A8" s="192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108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104"/>
      <c r="DF8" s="29"/>
    </row>
    <row r="9" spans="1:110" ht="5.0999999999999996" customHeight="1" x14ac:dyDescent="0.25">
      <c r="A9" s="192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108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104"/>
      <c r="DF9" s="29"/>
    </row>
    <row r="10" spans="1:110" ht="5.0999999999999996" customHeight="1" x14ac:dyDescent="0.25">
      <c r="A10" s="192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108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104"/>
      <c r="DF10" s="29"/>
    </row>
    <row r="11" spans="1:110" ht="5.0999999999999996" customHeight="1" x14ac:dyDescent="0.25">
      <c r="A11" s="192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108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104"/>
      <c r="DF11" s="29"/>
    </row>
    <row r="12" spans="1:110" ht="5.0999999999999996" customHeight="1" x14ac:dyDescent="0.25">
      <c r="A12" s="192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108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104"/>
      <c r="DF12" s="29"/>
    </row>
    <row r="13" spans="1:110" ht="5.0999999999999996" customHeight="1" x14ac:dyDescent="0.25">
      <c r="A13" s="192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108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104"/>
      <c r="DF13" s="29"/>
    </row>
    <row r="14" spans="1:110" ht="5.0999999999999996" customHeight="1" x14ac:dyDescent="0.25">
      <c r="A14" s="192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108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104"/>
      <c r="DF14" s="29"/>
    </row>
    <row r="15" spans="1:110" ht="5.0999999999999996" customHeight="1" x14ac:dyDescent="0.25">
      <c r="A15" s="192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108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104"/>
      <c r="DF15" s="29"/>
    </row>
    <row r="16" spans="1:110" ht="5.0999999999999996" customHeight="1" x14ac:dyDescent="0.25">
      <c r="A16" s="117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116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117"/>
      <c r="DF16" s="29"/>
    </row>
    <row r="17" spans="1:110" ht="5.0999999999999996" customHeight="1" x14ac:dyDescent="0.25">
      <c r="A17" s="192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108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104"/>
      <c r="DF17" s="29"/>
    </row>
    <row r="18" spans="1:110" ht="5.0999999999999996" customHeight="1" x14ac:dyDescent="0.25">
      <c r="A18" s="192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108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104"/>
      <c r="DF18" s="29"/>
    </row>
    <row r="19" spans="1:110" ht="5.0999999999999996" customHeight="1" x14ac:dyDescent="0.25">
      <c r="A19" s="192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108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104"/>
      <c r="DF19" s="29"/>
    </row>
    <row r="20" spans="1:110" ht="5.0999999999999996" customHeight="1" x14ac:dyDescent="0.25">
      <c r="A20" s="192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108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104"/>
      <c r="DF20" s="29"/>
    </row>
    <row r="21" spans="1:110" ht="5.0999999999999996" customHeight="1" x14ac:dyDescent="0.3">
      <c r="A21" s="192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108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2"/>
      <c r="DB21" s="32"/>
      <c r="DC21" s="32"/>
      <c r="DD21" s="30"/>
      <c r="DE21" s="104"/>
      <c r="DF21" s="29"/>
    </row>
    <row r="22" spans="1:110" ht="5.0999999999999996" customHeight="1" x14ac:dyDescent="0.3">
      <c r="A22" s="192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108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184" t="str">
        <f>'1 Обладатель диплома'!B3</f>
        <v>Фамилия</v>
      </c>
      <c r="CG22" s="184"/>
      <c r="CH22" s="184"/>
      <c r="CI22" s="184"/>
      <c r="CJ22" s="184"/>
      <c r="CK22" s="184"/>
      <c r="CL22" s="184"/>
      <c r="CM22" s="184"/>
      <c r="CN22" s="184"/>
      <c r="CO22" s="184"/>
      <c r="CP22" s="184"/>
      <c r="CQ22" s="184"/>
      <c r="CR22" s="184"/>
      <c r="CS22" s="184"/>
      <c r="CT22" s="184"/>
      <c r="CU22" s="184"/>
      <c r="CV22" s="184"/>
      <c r="CW22" s="184"/>
      <c r="CX22" s="184"/>
      <c r="CY22" s="184"/>
      <c r="CZ22" s="36"/>
      <c r="DA22" s="32"/>
      <c r="DB22" s="32"/>
      <c r="DC22" s="32"/>
      <c r="DD22" s="30"/>
      <c r="DE22" s="104"/>
      <c r="DF22" s="29"/>
    </row>
    <row r="23" spans="1:110" ht="5.0999999999999996" customHeight="1" x14ac:dyDescent="0.3">
      <c r="A23" s="192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108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184"/>
      <c r="CG23" s="184"/>
      <c r="CH23" s="184"/>
      <c r="CI23" s="184"/>
      <c r="CJ23" s="184"/>
      <c r="CK23" s="184"/>
      <c r="CL23" s="184"/>
      <c r="CM23" s="184"/>
      <c r="CN23" s="184"/>
      <c r="CO23" s="184"/>
      <c r="CP23" s="184"/>
      <c r="CQ23" s="184"/>
      <c r="CR23" s="184"/>
      <c r="CS23" s="184"/>
      <c r="CT23" s="184"/>
      <c r="CU23" s="184"/>
      <c r="CV23" s="184"/>
      <c r="CW23" s="184"/>
      <c r="CX23" s="184"/>
      <c r="CY23" s="184"/>
      <c r="CZ23" s="36"/>
      <c r="DA23" s="32"/>
      <c r="DB23" s="32"/>
      <c r="DC23" s="32"/>
      <c r="DD23" s="30"/>
      <c r="DE23" s="104"/>
      <c r="DF23" s="29"/>
    </row>
    <row r="24" spans="1:110" ht="5.0999999999999996" customHeight="1" x14ac:dyDescent="0.3">
      <c r="A24" s="192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108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184"/>
      <c r="CG24" s="184"/>
      <c r="CH24" s="184"/>
      <c r="CI24" s="184"/>
      <c r="CJ24" s="184"/>
      <c r="CK24" s="184"/>
      <c r="CL24" s="184"/>
      <c r="CM24" s="184"/>
      <c r="CN24" s="184"/>
      <c r="CO24" s="184"/>
      <c r="CP24" s="184"/>
      <c r="CQ24" s="184"/>
      <c r="CR24" s="184"/>
      <c r="CS24" s="184"/>
      <c r="CT24" s="184"/>
      <c r="CU24" s="184"/>
      <c r="CV24" s="184"/>
      <c r="CW24" s="184"/>
      <c r="CX24" s="184"/>
      <c r="CY24" s="184"/>
      <c r="CZ24" s="36"/>
      <c r="DA24" s="32"/>
      <c r="DB24" s="32"/>
      <c r="DC24" s="32"/>
      <c r="DD24" s="30"/>
      <c r="DE24" s="104"/>
      <c r="DF24" s="29"/>
    </row>
    <row r="25" spans="1:110" ht="5.0999999999999996" customHeight="1" x14ac:dyDescent="0.25">
      <c r="A25" s="192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108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184"/>
      <c r="CG25" s="184"/>
      <c r="CH25" s="184"/>
      <c r="CI25" s="184"/>
      <c r="CJ25" s="184"/>
      <c r="CK25" s="184"/>
      <c r="CL25" s="184"/>
      <c r="CM25" s="184"/>
      <c r="CN25" s="184"/>
      <c r="CO25" s="184"/>
      <c r="CP25" s="184"/>
      <c r="CQ25" s="184"/>
      <c r="CR25" s="184"/>
      <c r="CS25" s="184"/>
      <c r="CT25" s="184"/>
      <c r="CU25" s="184"/>
      <c r="CV25" s="184"/>
      <c r="CW25" s="184"/>
      <c r="CX25" s="184"/>
      <c r="CY25" s="184"/>
      <c r="CZ25" s="36"/>
      <c r="DA25" s="33"/>
      <c r="DB25" s="33"/>
      <c r="DC25" s="33"/>
      <c r="DD25" s="30"/>
      <c r="DE25" s="104"/>
      <c r="DF25" s="29"/>
    </row>
    <row r="26" spans="1:110" ht="5.0999999999999996" customHeight="1" x14ac:dyDescent="0.25">
      <c r="A26" s="192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108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3"/>
      <c r="DB26" s="33"/>
      <c r="DC26" s="33"/>
      <c r="DD26" s="30"/>
      <c r="DE26" s="104"/>
      <c r="DF26" s="29"/>
    </row>
    <row r="27" spans="1:110" ht="5.0999999999999996" customHeight="1" x14ac:dyDescent="0.3">
      <c r="A27" s="192"/>
      <c r="B27" s="30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107"/>
      <c r="AJ27" s="107"/>
      <c r="AK27" s="107"/>
      <c r="AL27" s="30"/>
      <c r="AM27" s="30"/>
      <c r="AN27" s="30"/>
      <c r="AO27" s="34"/>
      <c r="AP27" s="34"/>
      <c r="AQ27" s="34"/>
      <c r="AR27" s="34"/>
      <c r="AS27" s="34"/>
      <c r="AT27" s="34"/>
      <c r="AU27" s="35"/>
      <c r="AV27" s="35"/>
      <c r="AW27" s="35"/>
      <c r="AX27" s="35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2"/>
      <c r="DB27" s="32"/>
      <c r="DC27" s="32"/>
      <c r="DD27" s="30"/>
      <c r="DE27" s="104"/>
      <c r="DF27" s="29"/>
    </row>
    <row r="28" spans="1:110" ht="5.0999999999999996" customHeight="1" x14ac:dyDescent="0.3">
      <c r="A28" s="192"/>
      <c r="B28" s="30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107"/>
      <c r="AJ28" s="107"/>
      <c r="AK28" s="107"/>
      <c r="AL28" s="30"/>
      <c r="AM28" s="30"/>
      <c r="AN28" s="30"/>
      <c r="AO28" s="34"/>
      <c r="AP28" s="34"/>
      <c r="AQ28" s="34"/>
      <c r="AR28" s="34"/>
      <c r="AS28" s="34"/>
      <c r="AT28" s="34"/>
      <c r="AU28" s="35"/>
      <c r="AV28" s="35"/>
      <c r="AW28" s="35"/>
      <c r="AX28" s="35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185" t="str">
        <f>'1 Обладатель диплома'!B4</f>
        <v>Имя</v>
      </c>
      <c r="CG28" s="185"/>
      <c r="CH28" s="185"/>
      <c r="CI28" s="185"/>
      <c r="CJ28" s="185"/>
      <c r="CK28" s="185"/>
      <c r="CL28" s="185"/>
      <c r="CM28" s="185"/>
      <c r="CN28" s="185"/>
      <c r="CO28" s="185"/>
      <c r="CP28" s="185"/>
      <c r="CQ28" s="185"/>
      <c r="CR28" s="185"/>
      <c r="CS28" s="185"/>
      <c r="CT28" s="185"/>
      <c r="CU28" s="185"/>
      <c r="CV28" s="185"/>
      <c r="CW28" s="185"/>
      <c r="CX28" s="185"/>
      <c r="CY28" s="185"/>
      <c r="CZ28" s="36"/>
      <c r="DA28" s="32"/>
      <c r="DB28" s="32"/>
      <c r="DC28" s="32"/>
      <c r="DD28" s="30"/>
      <c r="DE28" s="104"/>
      <c r="DF28" s="29"/>
    </row>
    <row r="29" spans="1:110" ht="5.0999999999999996" customHeight="1" x14ac:dyDescent="0.3">
      <c r="A29" s="192"/>
      <c r="B29" s="30"/>
      <c r="C29" s="34"/>
      <c r="D29" s="34"/>
      <c r="E29" s="186" t="str">
        <f>IF(LEN(TRIM('4 доп.сведения'!B2))=0," ",'4 доп.сведения'!B2)</f>
        <v xml:space="preserve"> </v>
      </c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  <c r="AA29" s="186"/>
      <c r="AB29" s="186"/>
      <c r="AC29" s="186"/>
      <c r="AD29" s="186"/>
      <c r="AE29" s="186"/>
      <c r="AF29" s="186"/>
      <c r="AG29" s="186"/>
      <c r="AH29" s="186"/>
      <c r="AI29" s="186"/>
      <c r="AJ29" s="186"/>
      <c r="AK29" s="186"/>
      <c r="AL29" s="34"/>
      <c r="AM29" s="34"/>
      <c r="AN29" s="34"/>
      <c r="AO29" s="187" t="str">
        <f>IF(LEN(TRIM('4 доп.сведения'!C2))=0," ",'4 доп.сведения'!C2)</f>
        <v xml:space="preserve"> </v>
      </c>
      <c r="AP29" s="187"/>
      <c r="AQ29" s="187"/>
      <c r="AR29" s="187"/>
      <c r="AS29" s="187"/>
      <c r="AT29" s="187"/>
      <c r="AU29" s="187"/>
      <c r="AV29" s="187"/>
      <c r="AW29" s="187"/>
      <c r="AX29" s="187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185"/>
      <c r="CG29" s="185"/>
      <c r="CH29" s="185"/>
      <c r="CI29" s="185"/>
      <c r="CJ29" s="185"/>
      <c r="CK29" s="185"/>
      <c r="CL29" s="185"/>
      <c r="CM29" s="185"/>
      <c r="CN29" s="185"/>
      <c r="CO29" s="185"/>
      <c r="CP29" s="185"/>
      <c r="CQ29" s="185"/>
      <c r="CR29" s="185"/>
      <c r="CS29" s="185"/>
      <c r="CT29" s="185"/>
      <c r="CU29" s="185"/>
      <c r="CV29" s="185"/>
      <c r="CW29" s="185"/>
      <c r="CX29" s="185"/>
      <c r="CY29" s="185"/>
      <c r="CZ29" s="36"/>
      <c r="DA29" s="32"/>
      <c r="DB29" s="32"/>
      <c r="DC29" s="32"/>
      <c r="DD29" s="30"/>
      <c r="DE29" s="104"/>
      <c r="DF29" s="29"/>
    </row>
    <row r="30" spans="1:110" ht="5.0999999999999996" customHeight="1" x14ac:dyDescent="0.3">
      <c r="A30" s="192"/>
      <c r="B30" s="30"/>
      <c r="C30" s="34"/>
      <c r="D30" s="34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6"/>
      <c r="AL30" s="34"/>
      <c r="AM30" s="34"/>
      <c r="AN30" s="34"/>
      <c r="AO30" s="187"/>
      <c r="AP30" s="187"/>
      <c r="AQ30" s="187"/>
      <c r="AR30" s="187"/>
      <c r="AS30" s="187"/>
      <c r="AT30" s="187"/>
      <c r="AU30" s="187"/>
      <c r="AV30" s="187"/>
      <c r="AW30" s="187"/>
      <c r="AX30" s="187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185"/>
      <c r="CG30" s="185"/>
      <c r="CH30" s="185"/>
      <c r="CI30" s="185"/>
      <c r="CJ30" s="185"/>
      <c r="CK30" s="185"/>
      <c r="CL30" s="185"/>
      <c r="CM30" s="185"/>
      <c r="CN30" s="185"/>
      <c r="CO30" s="185"/>
      <c r="CP30" s="185"/>
      <c r="CQ30" s="185"/>
      <c r="CR30" s="185"/>
      <c r="CS30" s="185"/>
      <c r="CT30" s="185"/>
      <c r="CU30" s="185"/>
      <c r="CV30" s="185"/>
      <c r="CW30" s="185"/>
      <c r="CX30" s="185"/>
      <c r="CY30" s="185"/>
      <c r="CZ30" s="36"/>
      <c r="DA30" s="32"/>
      <c r="DB30" s="32"/>
      <c r="DC30" s="32"/>
      <c r="DD30" s="30"/>
      <c r="DE30" s="104"/>
      <c r="DF30" s="29"/>
    </row>
    <row r="31" spans="1:110" ht="5.0999999999999996" customHeight="1" x14ac:dyDescent="0.25">
      <c r="A31" s="192"/>
      <c r="B31" s="30"/>
      <c r="C31" s="34"/>
      <c r="D31" s="34"/>
      <c r="E31" s="186" t="str">
        <f>IF(LEN(TRIM('4 доп.сведения'!B3))=0," ",'4 доп.сведения'!B3)</f>
        <v xml:space="preserve"> </v>
      </c>
      <c r="F31" s="186"/>
      <c r="G31" s="186"/>
      <c r="H31" s="186"/>
      <c r="I31" s="186"/>
      <c r="J31" s="186"/>
      <c r="K31" s="186"/>
      <c r="L31" s="186"/>
      <c r="M31" s="186"/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  <c r="AA31" s="186"/>
      <c r="AB31" s="186"/>
      <c r="AC31" s="186"/>
      <c r="AD31" s="186"/>
      <c r="AE31" s="186"/>
      <c r="AF31" s="186"/>
      <c r="AG31" s="186"/>
      <c r="AH31" s="186"/>
      <c r="AI31" s="186"/>
      <c r="AJ31" s="186"/>
      <c r="AK31" s="186"/>
      <c r="AL31" s="34"/>
      <c r="AM31" s="34"/>
      <c r="AN31" s="34"/>
      <c r="AO31" s="187" t="str">
        <f>IF(LEN(TRIM('4 доп.сведения'!C3))=0," ",'4 доп.сведения'!C3)</f>
        <v xml:space="preserve"> </v>
      </c>
      <c r="AP31" s="187"/>
      <c r="AQ31" s="187"/>
      <c r="AR31" s="187"/>
      <c r="AS31" s="187"/>
      <c r="AT31" s="187"/>
      <c r="AU31" s="187"/>
      <c r="AV31" s="187"/>
      <c r="AW31" s="187"/>
      <c r="AX31" s="187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185"/>
      <c r="CG31" s="185"/>
      <c r="CH31" s="185"/>
      <c r="CI31" s="185"/>
      <c r="CJ31" s="185"/>
      <c r="CK31" s="185"/>
      <c r="CL31" s="185"/>
      <c r="CM31" s="185"/>
      <c r="CN31" s="185"/>
      <c r="CO31" s="185"/>
      <c r="CP31" s="185"/>
      <c r="CQ31" s="185"/>
      <c r="CR31" s="185"/>
      <c r="CS31" s="185"/>
      <c r="CT31" s="185"/>
      <c r="CU31" s="185"/>
      <c r="CV31" s="185"/>
      <c r="CW31" s="185"/>
      <c r="CX31" s="185"/>
      <c r="CY31" s="185"/>
      <c r="CZ31" s="36"/>
      <c r="DA31" s="33"/>
      <c r="DB31" s="33"/>
      <c r="DC31" s="33"/>
      <c r="DD31" s="30"/>
      <c r="DE31" s="104"/>
      <c r="DF31" s="29"/>
    </row>
    <row r="32" spans="1:110" ht="5.0999999999999996" customHeight="1" x14ac:dyDescent="0.25">
      <c r="A32" s="192"/>
      <c r="B32" s="30"/>
      <c r="C32" s="34"/>
      <c r="D32" s="34"/>
      <c r="E32" s="186"/>
      <c r="F32" s="186"/>
      <c r="G32" s="186"/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34"/>
      <c r="AM32" s="34"/>
      <c r="AN32" s="34"/>
      <c r="AO32" s="187"/>
      <c r="AP32" s="187"/>
      <c r="AQ32" s="187"/>
      <c r="AR32" s="187"/>
      <c r="AS32" s="187"/>
      <c r="AT32" s="187"/>
      <c r="AU32" s="187"/>
      <c r="AV32" s="187"/>
      <c r="AW32" s="187"/>
      <c r="AX32" s="187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185"/>
      <c r="CG32" s="185"/>
      <c r="CH32" s="185"/>
      <c r="CI32" s="185"/>
      <c r="CJ32" s="185"/>
      <c r="CK32" s="185"/>
      <c r="CL32" s="185"/>
      <c r="CM32" s="185"/>
      <c r="CN32" s="185"/>
      <c r="CO32" s="185"/>
      <c r="CP32" s="185"/>
      <c r="CQ32" s="185"/>
      <c r="CR32" s="185"/>
      <c r="CS32" s="185"/>
      <c r="CT32" s="185"/>
      <c r="CU32" s="185"/>
      <c r="CV32" s="185"/>
      <c r="CW32" s="185"/>
      <c r="CX32" s="185"/>
      <c r="CY32" s="185"/>
      <c r="CZ32" s="36"/>
      <c r="DA32" s="33"/>
      <c r="DB32" s="33"/>
      <c r="DC32" s="33"/>
      <c r="DD32" s="30"/>
      <c r="DE32" s="104"/>
      <c r="DF32" s="29"/>
    </row>
    <row r="33" spans="1:110" ht="5.0999999999999996" customHeight="1" x14ac:dyDescent="0.25">
      <c r="A33" s="192"/>
      <c r="B33" s="30"/>
      <c r="C33" s="34"/>
      <c r="D33" s="34"/>
      <c r="E33" s="186" t="str">
        <f>IF(LEN(TRIM('4 доп.сведения'!B4))=0," ",'4 доп.сведения'!B4)</f>
        <v xml:space="preserve"> </v>
      </c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34"/>
      <c r="AM33" s="34"/>
      <c r="AN33" s="34"/>
      <c r="AO33" s="187" t="str">
        <f>IF(LEN(TRIM('4 доп.сведения'!C4))=0," ",'4 доп.сведения'!C4)</f>
        <v xml:space="preserve"> </v>
      </c>
      <c r="AP33" s="187"/>
      <c r="AQ33" s="187"/>
      <c r="AR33" s="187"/>
      <c r="AS33" s="187"/>
      <c r="AT33" s="187"/>
      <c r="AU33" s="187"/>
      <c r="AV33" s="187"/>
      <c r="AW33" s="187"/>
      <c r="AX33" s="187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3"/>
      <c r="DB33" s="33"/>
      <c r="DC33" s="33"/>
      <c r="DD33" s="30"/>
      <c r="DE33" s="104"/>
      <c r="DF33" s="29"/>
    </row>
    <row r="34" spans="1:110" ht="5.0999999999999996" customHeight="1" x14ac:dyDescent="0.25">
      <c r="A34" s="192"/>
      <c r="B34" s="30"/>
      <c r="C34" s="34"/>
      <c r="D34" s="34"/>
      <c r="E34" s="186"/>
      <c r="F34" s="186"/>
      <c r="G34" s="186"/>
      <c r="H34" s="186"/>
      <c r="I34" s="186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  <c r="AA34" s="186"/>
      <c r="AB34" s="186"/>
      <c r="AC34" s="186"/>
      <c r="AD34" s="186"/>
      <c r="AE34" s="186"/>
      <c r="AF34" s="186"/>
      <c r="AG34" s="186"/>
      <c r="AH34" s="186"/>
      <c r="AI34" s="186"/>
      <c r="AJ34" s="186"/>
      <c r="AK34" s="186"/>
      <c r="AL34" s="34"/>
      <c r="AM34" s="34"/>
      <c r="AN34" s="34"/>
      <c r="AO34" s="187"/>
      <c r="AP34" s="187"/>
      <c r="AQ34" s="187"/>
      <c r="AR34" s="187"/>
      <c r="AS34" s="187"/>
      <c r="AT34" s="187"/>
      <c r="AU34" s="187"/>
      <c r="AV34" s="187"/>
      <c r="AW34" s="187"/>
      <c r="AX34" s="187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3"/>
      <c r="DB34" s="33"/>
      <c r="DC34" s="33"/>
      <c r="DD34" s="30"/>
      <c r="DE34" s="104"/>
      <c r="DF34" s="29"/>
    </row>
    <row r="35" spans="1:110" ht="5.0999999999999996" customHeight="1" x14ac:dyDescent="0.25">
      <c r="A35" s="192"/>
      <c r="B35" s="30"/>
      <c r="C35" s="34"/>
      <c r="D35" s="34"/>
      <c r="E35" s="186" t="str">
        <f>IF(LEN(TRIM('4 доп.сведения'!B5))=0," ",'4 доп.сведения'!B5)</f>
        <v xml:space="preserve"> </v>
      </c>
      <c r="F35" s="186"/>
      <c r="G35" s="186"/>
      <c r="H35" s="186"/>
      <c r="I35" s="186"/>
      <c r="J35" s="186"/>
      <c r="K35" s="186"/>
      <c r="L35" s="186"/>
      <c r="M35" s="186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34"/>
      <c r="AM35" s="34"/>
      <c r="AN35" s="34"/>
      <c r="AO35" s="187" t="str">
        <f>IF(LEN(TRIM('4 доп.сведения'!C5))=0," ",'4 доп.сведения'!C5)</f>
        <v xml:space="preserve"> </v>
      </c>
      <c r="AP35" s="187"/>
      <c r="AQ35" s="187"/>
      <c r="AR35" s="187"/>
      <c r="AS35" s="187"/>
      <c r="AT35" s="187"/>
      <c r="AU35" s="187"/>
      <c r="AV35" s="187"/>
      <c r="AW35" s="187"/>
      <c r="AX35" s="187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185" t="str">
        <f>'1 Обладатель диплома'!B5</f>
        <v>Отчество</v>
      </c>
      <c r="CG35" s="185"/>
      <c r="CH35" s="185"/>
      <c r="CI35" s="185"/>
      <c r="CJ35" s="185"/>
      <c r="CK35" s="185"/>
      <c r="CL35" s="185"/>
      <c r="CM35" s="185"/>
      <c r="CN35" s="185"/>
      <c r="CO35" s="185"/>
      <c r="CP35" s="185"/>
      <c r="CQ35" s="185"/>
      <c r="CR35" s="185"/>
      <c r="CS35" s="185"/>
      <c r="CT35" s="185"/>
      <c r="CU35" s="185"/>
      <c r="CV35" s="185"/>
      <c r="CW35" s="185"/>
      <c r="CX35" s="185"/>
      <c r="CY35" s="185"/>
      <c r="CZ35" s="36"/>
      <c r="DA35" s="33"/>
      <c r="DB35" s="33"/>
      <c r="DC35" s="33"/>
      <c r="DD35" s="30"/>
      <c r="DE35" s="104"/>
      <c r="DF35" s="29"/>
    </row>
    <row r="36" spans="1:110" ht="5.0999999999999996" customHeight="1" x14ac:dyDescent="0.25">
      <c r="A36" s="192"/>
      <c r="B36" s="30"/>
      <c r="C36" s="34"/>
      <c r="D36" s="34"/>
      <c r="E36" s="186"/>
      <c r="F36" s="186"/>
      <c r="G36" s="186"/>
      <c r="H36" s="186"/>
      <c r="I36" s="186"/>
      <c r="J36" s="186"/>
      <c r="K36" s="186"/>
      <c r="L36" s="186"/>
      <c r="M36" s="186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  <c r="AA36" s="186"/>
      <c r="AB36" s="186"/>
      <c r="AC36" s="186"/>
      <c r="AD36" s="186"/>
      <c r="AE36" s="186"/>
      <c r="AF36" s="186"/>
      <c r="AG36" s="186"/>
      <c r="AH36" s="186"/>
      <c r="AI36" s="186"/>
      <c r="AJ36" s="186"/>
      <c r="AK36" s="186"/>
      <c r="AL36" s="34"/>
      <c r="AM36" s="34"/>
      <c r="AN36" s="34"/>
      <c r="AO36" s="187"/>
      <c r="AP36" s="187"/>
      <c r="AQ36" s="187"/>
      <c r="AR36" s="187"/>
      <c r="AS36" s="187"/>
      <c r="AT36" s="187"/>
      <c r="AU36" s="187"/>
      <c r="AV36" s="187"/>
      <c r="AW36" s="187"/>
      <c r="AX36" s="187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185"/>
      <c r="CG36" s="185"/>
      <c r="CH36" s="185"/>
      <c r="CI36" s="185"/>
      <c r="CJ36" s="185"/>
      <c r="CK36" s="185"/>
      <c r="CL36" s="185"/>
      <c r="CM36" s="185"/>
      <c r="CN36" s="185"/>
      <c r="CO36" s="185"/>
      <c r="CP36" s="185"/>
      <c r="CQ36" s="185"/>
      <c r="CR36" s="185"/>
      <c r="CS36" s="185"/>
      <c r="CT36" s="185"/>
      <c r="CU36" s="185"/>
      <c r="CV36" s="185"/>
      <c r="CW36" s="185"/>
      <c r="CX36" s="185"/>
      <c r="CY36" s="185"/>
      <c r="CZ36" s="36"/>
      <c r="DA36" s="33"/>
      <c r="DB36" s="33"/>
      <c r="DC36" s="33"/>
      <c r="DD36" s="30"/>
      <c r="DE36" s="104"/>
      <c r="DF36" s="29"/>
    </row>
    <row r="37" spans="1:110" ht="5.0999999999999996" customHeight="1" x14ac:dyDescent="0.25">
      <c r="A37" s="192"/>
      <c r="B37" s="30"/>
      <c r="C37" s="34"/>
      <c r="D37" s="34"/>
      <c r="E37" s="186" t="str">
        <f>IF(LEN(TRIM('4 доп.сведения'!B6))=0," ",'4 доп.сведения'!B6)</f>
        <v xml:space="preserve"> </v>
      </c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  <c r="AC37" s="186"/>
      <c r="AD37" s="186"/>
      <c r="AE37" s="186"/>
      <c r="AF37" s="186"/>
      <c r="AG37" s="186"/>
      <c r="AH37" s="186"/>
      <c r="AI37" s="186"/>
      <c r="AJ37" s="186"/>
      <c r="AK37" s="186"/>
      <c r="AL37" s="34"/>
      <c r="AM37" s="34"/>
      <c r="AN37" s="34"/>
      <c r="AO37" s="187" t="str">
        <f>IF(LEN(TRIM('4 доп.сведения'!C6))=0," ",'4 доп.сведения'!C6)</f>
        <v xml:space="preserve"> </v>
      </c>
      <c r="AP37" s="187"/>
      <c r="AQ37" s="187"/>
      <c r="AR37" s="187"/>
      <c r="AS37" s="187"/>
      <c r="AT37" s="187"/>
      <c r="AU37" s="187"/>
      <c r="AV37" s="187"/>
      <c r="AW37" s="187"/>
      <c r="AX37" s="187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185"/>
      <c r="CG37" s="185"/>
      <c r="CH37" s="185"/>
      <c r="CI37" s="185"/>
      <c r="CJ37" s="185"/>
      <c r="CK37" s="185"/>
      <c r="CL37" s="185"/>
      <c r="CM37" s="185"/>
      <c r="CN37" s="185"/>
      <c r="CO37" s="185"/>
      <c r="CP37" s="185"/>
      <c r="CQ37" s="185"/>
      <c r="CR37" s="185"/>
      <c r="CS37" s="185"/>
      <c r="CT37" s="185"/>
      <c r="CU37" s="185"/>
      <c r="CV37" s="185"/>
      <c r="CW37" s="185"/>
      <c r="CX37" s="185"/>
      <c r="CY37" s="185"/>
      <c r="CZ37" s="36"/>
      <c r="DA37" s="36"/>
      <c r="DB37" s="36"/>
      <c r="DC37" s="36"/>
      <c r="DD37" s="30"/>
      <c r="DE37" s="104"/>
      <c r="DF37" s="29"/>
    </row>
    <row r="38" spans="1:110" ht="5.0999999999999996" customHeight="1" x14ac:dyDescent="0.25">
      <c r="A38" s="192"/>
      <c r="B38" s="30"/>
      <c r="C38" s="34"/>
      <c r="D38" s="34"/>
      <c r="E38" s="186"/>
      <c r="F38" s="186"/>
      <c r="G38" s="186"/>
      <c r="H38" s="186"/>
      <c r="I38" s="186"/>
      <c r="J38" s="186"/>
      <c r="K38" s="186"/>
      <c r="L38" s="186"/>
      <c r="M38" s="186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  <c r="AI38" s="186"/>
      <c r="AJ38" s="186"/>
      <c r="AK38" s="186"/>
      <c r="AL38" s="34"/>
      <c r="AM38" s="34"/>
      <c r="AN38" s="34"/>
      <c r="AO38" s="187"/>
      <c r="AP38" s="187"/>
      <c r="AQ38" s="187"/>
      <c r="AR38" s="187"/>
      <c r="AS38" s="187"/>
      <c r="AT38" s="187"/>
      <c r="AU38" s="187"/>
      <c r="AV38" s="187"/>
      <c r="AW38" s="187"/>
      <c r="AX38" s="187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185"/>
      <c r="CG38" s="185"/>
      <c r="CH38" s="185"/>
      <c r="CI38" s="185"/>
      <c r="CJ38" s="185"/>
      <c r="CK38" s="185"/>
      <c r="CL38" s="185"/>
      <c r="CM38" s="185"/>
      <c r="CN38" s="185"/>
      <c r="CO38" s="185"/>
      <c r="CP38" s="185"/>
      <c r="CQ38" s="185"/>
      <c r="CR38" s="185"/>
      <c r="CS38" s="185"/>
      <c r="CT38" s="185"/>
      <c r="CU38" s="185"/>
      <c r="CV38" s="185"/>
      <c r="CW38" s="185"/>
      <c r="CX38" s="185"/>
      <c r="CY38" s="185"/>
      <c r="CZ38" s="36"/>
      <c r="DA38" s="36"/>
      <c r="DB38" s="36"/>
      <c r="DC38" s="36"/>
      <c r="DD38" s="30"/>
      <c r="DE38" s="104"/>
      <c r="DF38" s="29"/>
    </row>
    <row r="39" spans="1:110" ht="5.0999999999999996" customHeight="1" x14ac:dyDescent="0.25">
      <c r="A39" s="192"/>
      <c r="B39" s="30"/>
      <c r="C39" s="34"/>
      <c r="D39" s="34"/>
      <c r="E39" s="186" t="str">
        <f>IF(LEN(TRIM('4 доп.сведения'!B7))=0," ",'4 доп.сведения'!B7)</f>
        <v xml:space="preserve"> </v>
      </c>
      <c r="F39" s="186"/>
      <c r="G39" s="186"/>
      <c r="H39" s="186"/>
      <c r="I39" s="186"/>
      <c r="J39" s="186"/>
      <c r="K39" s="186"/>
      <c r="L39" s="186"/>
      <c r="M39" s="186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  <c r="AA39" s="186"/>
      <c r="AB39" s="186"/>
      <c r="AC39" s="186"/>
      <c r="AD39" s="186"/>
      <c r="AE39" s="186"/>
      <c r="AF39" s="186"/>
      <c r="AG39" s="186"/>
      <c r="AH39" s="186"/>
      <c r="AI39" s="186"/>
      <c r="AJ39" s="186"/>
      <c r="AK39" s="186"/>
      <c r="AL39" s="34"/>
      <c r="AM39" s="34"/>
      <c r="AN39" s="34"/>
      <c r="AO39" s="187" t="str">
        <f>IF(LEN(TRIM('4 доп.сведения'!C7))=0," ",'4 доп.сведения'!C7)</f>
        <v xml:space="preserve"> </v>
      </c>
      <c r="AP39" s="187"/>
      <c r="AQ39" s="187"/>
      <c r="AR39" s="187"/>
      <c r="AS39" s="187"/>
      <c r="AT39" s="187"/>
      <c r="AU39" s="187"/>
      <c r="AV39" s="187"/>
      <c r="AW39" s="187"/>
      <c r="AX39" s="187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185"/>
      <c r="CG39" s="185"/>
      <c r="CH39" s="185"/>
      <c r="CI39" s="185"/>
      <c r="CJ39" s="185"/>
      <c r="CK39" s="185"/>
      <c r="CL39" s="185"/>
      <c r="CM39" s="185"/>
      <c r="CN39" s="185"/>
      <c r="CO39" s="185"/>
      <c r="CP39" s="185"/>
      <c r="CQ39" s="185"/>
      <c r="CR39" s="185"/>
      <c r="CS39" s="185"/>
      <c r="CT39" s="185"/>
      <c r="CU39" s="185"/>
      <c r="CV39" s="185"/>
      <c r="CW39" s="185"/>
      <c r="CX39" s="185"/>
      <c r="CY39" s="185"/>
      <c r="CZ39" s="36"/>
      <c r="DA39" s="111"/>
      <c r="DB39" s="111"/>
      <c r="DC39" s="111"/>
      <c r="DD39" s="30"/>
      <c r="DE39" s="104"/>
      <c r="DF39" s="29"/>
    </row>
    <row r="40" spans="1:110" ht="5.0999999999999996" customHeight="1" x14ac:dyDescent="0.25">
      <c r="A40" s="192"/>
      <c r="B40" s="30"/>
      <c r="C40" s="34"/>
      <c r="D40" s="34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34"/>
      <c r="AM40" s="34"/>
      <c r="AN40" s="34"/>
      <c r="AO40" s="187"/>
      <c r="AP40" s="187"/>
      <c r="AQ40" s="187"/>
      <c r="AR40" s="187"/>
      <c r="AS40" s="187"/>
      <c r="AT40" s="187"/>
      <c r="AU40" s="187"/>
      <c r="AV40" s="187"/>
      <c r="AW40" s="187"/>
      <c r="AX40" s="187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185"/>
      <c r="CG40" s="185"/>
      <c r="CH40" s="185"/>
      <c r="CI40" s="185"/>
      <c r="CJ40" s="185"/>
      <c r="CK40" s="185"/>
      <c r="CL40" s="185"/>
      <c r="CM40" s="185"/>
      <c r="CN40" s="185"/>
      <c r="CO40" s="185"/>
      <c r="CP40" s="185"/>
      <c r="CQ40" s="185"/>
      <c r="CR40" s="185"/>
      <c r="CS40" s="185"/>
      <c r="CT40" s="185"/>
      <c r="CU40" s="185"/>
      <c r="CV40" s="185"/>
      <c r="CW40" s="185"/>
      <c r="CX40" s="185"/>
      <c r="CY40" s="185"/>
      <c r="CZ40" s="36"/>
      <c r="DA40" s="111"/>
      <c r="DB40" s="111"/>
      <c r="DC40" s="111"/>
      <c r="DD40" s="30"/>
      <c r="DE40" s="104"/>
      <c r="DF40" s="29"/>
    </row>
    <row r="41" spans="1:110" ht="5.0999999999999996" customHeight="1" x14ac:dyDescent="0.25">
      <c r="A41" s="192"/>
      <c r="B41" s="30"/>
      <c r="C41" s="34"/>
      <c r="D41" s="34"/>
      <c r="E41" s="186" t="str">
        <f>IF(LEN(TRIM('4 доп.сведения'!B8))=0," ",'4 доп.сведения'!B8)</f>
        <v xml:space="preserve"> </v>
      </c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  <c r="AA41" s="186"/>
      <c r="AB41" s="186"/>
      <c r="AC41" s="186"/>
      <c r="AD41" s="186"/>
      <c r="AE41" s="186"/>
      <c r="AF41" s="186"/>
      <c r="AG41" s="186"/>
      <c r="AH41" s="186"/>
      <c r="AI41" s="186"/>
      <c r="AJ41" s="186"/>
      <c r="AK41" s="186"/>
      <c r="AL41" s="34"/>
      <c r="AM41" s="34"/>
      <c r="AN41" s="34"/>
      <c r="AO41" s="187" t="str">
        <f>IF(LEN(TRIM('4 доп.сведения'!C8))=0," ",'4 доп.сведения'!C8)</f>
        <v xml:space="preserve"> </v>
      </c>
      <c r="AP41" s="187"/>
      <c r="AQ41" s="187"/>
      <c r="AR41" s="187"/>
      <c r="AS41" s="187"/>
      <c r="AT41" s="187"/>
      <c r="AU41" s="187"/>
      <c r="AV41" s="187"/>
      <c r="AW41" s="187"/>
      <c r="AX41" s="187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111"/>
      <c r="DB41" s="111"/>
      <c r="DC41" s="111"/>
      <c r="DD41" s="30"/>
      <c r="DE41" s="104"/>
      <c r="DF41" s="29"/>
    </row>
    <row r="42" spans="1:110" ht="5.0999999999999996" customHeight="1" x14ac:dyDescent="0.25">
      <c r="A42" s="192"/>
      <c r="B42" s="30"/>
      <c r="C42" s="34"/>
      <c r="D42" s="34"/>
      <c r="E42" s="186"/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  <c r="AA42" s="186"/>
      <c r="AB42" s="186"/>
      <c r="AC42" s="186"/>
      <c r="AD42" s="186"/>
      <c r="AE42" s="186"/>
      <c r="AF42" s="186"/>
      <c r="AG42" s="186"/>
      <c r="AH42" s="186"/>
      <c r="AI42" s="186"/>
      <c r="AJ42" s="186"/>
      <c r="AK42" s="186"/>
      <c r="AL42" s="34"/>
      <c r="AM42" s="34"/>
      <c r="AN42" s="34"/>
      <c r="AO42" s="187"/>
      <c r="AP42" s="187"/>
      <c r="AQ42" s="187"/>
      <c r="AR42" s="187"/>
      <c r="AS42" s="187"/>
      <c r="AT42" s="187"/>
      <c r="AU42" s="187"/>
      <c r="AV42" s="187"/>
      <c r="AW42" s="187"/>
      <c r="AX42" s="187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184" t="str">
        <f>'1 Обладатель диплома'!B6</f>
        <v>22 января 2005 года</v>
      </c>
      <c r="CG42" s="184"/>
      <c r="CH42" s="184"/>
      <c r="CI42" s="184"/>
      <c r="CJ42" s="184"/>
      <c r="CK42" s="184"/>
      <c r="CL42" s="184"/>
      <c r="CM42" s="184"/>
      <c r="CN42" s="184"/>
      <c r="CO42" s="184"/>
      <c r="CP42" s="184"/>
      <c r="CQ42" s="184"/>
      <c r="CR42" s="184"/>
      <c r="CS42" s="184"/>
      <c r="CT42" s="184"/>
      <c r="CU42" s="184"/>
      <c r="CV42" s="184"/>
      <c r="CW42" s="184"/>
      <c r="CX42" s="184"/>
      <c r="CY42" s="184"/>
      <c r="CZ42" s="36"/>
      <c r="DA42" s="111"/>
      <c r="DB42" s="111"/>
      <c r="DC42" s="111"/>
      <c r="DD42" s="30"/>
      <c r="DE42" s="104"/>
      <c r="DF42" s="29"/>
    </row>
    <row r="43" spans="1:110" ht="5.0999999999999996" customHeight="1" x14ac:dyDescent="0.25">
      <c r="A43" s="192"/>
      <c r="B43" s="30"/>
      <c r="C43" s="34"/>
      <c r="D43" s="34"/>
      <c r="E43" s="186" t="str">
        <f>IF(LEN(TRIM('4 доп.сведения'!B9))=0," ",'4 доп.сведения'!B9)</f>
        <v xml:space="preserve"> </v>
      </c>
      <c r="F43" s="186"/>
      <c r="G43" s="186"/>
      <c r="H43" s="186"/>
      <c r="I43" s="186"/>
      <c r="J43" s="186"/>
      <c r="K43" s="186"/>
      <c r="L43" s="186"/>
      <c r="M43" s="186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  <c r="AA43" s="186"/>
      <c r="AB43" s="186"/>
      <c r="AC43" s="186"/>
      <c r="AD43" s="186"/>
      <c r="AE43" s="186"/>
      <c r="AF43" s="186"/>
      <c r="AG43" s="186"/>
      <c r="AH43" s="186"/>
      <c r="AI43" s="186"/>
      <c r="AJ43" s="186"/>
      <c r="AK43" s="186"/>
      <c r="AL43" s="34"/>
      <c r="AM43" s="34"/>
      <c r="AN43" s="34"/>
      <c r="AO43" s="187" t="str">
        <f>IF(LEN(TRIM('4 доп.сведения'!C9))=0," ",'4 доп.сведения'!C9)</f>
        <v xml:space="preserve"> </v>
      </c>
      <c r="AP43" s="187"/>
      <c r="AQ43" s="187"/>
      <c r="AR43" s="187"/>
      <c r="AS43" s="187"/>
      <c r="AT43" s="187"/>
      <c r="AU43" s="187"/>
      <c r="AV43" s="187"/>
      <c r="AW43" s="187"/>
      <c r="AX43" s="187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184"/>
      <c r="CG43" s="184"/>
      <c r="CH43" s="184"/>
      <c r="CI43" s="184"/>
      <c r="CJ43" s="184"/>
      <c r="CK43" s="184"/>
      <c r="CL43" s="184"/>
      <c r="CM43" s="184"/>
      <c r="CN43" s="184"/>
      <c r="CO43" s="184"/>
      <c r="CP43" s="184"/>
      <c r="CQ43" s="184"/>
      <c r="CR43" s="184"/>
      <c r="CS43" s="184"/>
      <c r="CT43" s="184"/>
      <c r="CU43" s="184"/>
      <c r="CV43" s="184"/>
      <c r="CW43" s="184"/>
      <c r="CX43" s="184"/>
      <c r="CY43" s="184"/>
      <c r="CZ43" s="36"/>
      <c r="DA43" s="36"/>
      <c r="DB43" s="36"/>
      <c r="DC43" s="36"/>
      <c r="DD43" s="30"/>
      <c r="DE43" s="104"/>
      <c r="DF43" s="29"/>
    </row>
    <row r="44" spans="1:110" ht="5.0999999999999996" customHeight="1" x14ac:dyDescent="0.25">
      <c r="A44" s="192"/>
      <c r="B44" s="30"/>
      <c r="C44" s="34"/>
      <c r="D44" s="34"/>
      <c r="E44" s="186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  <c r="AA44" s="186"/>
      <c r="AB44" s="186"/>
      <c r="AC44" s="186"/>
      <c r="AD44" s="186"/>
      <c r="AE44" s="186"/>
      <c r="AF44" s="186"/>
      <c r="AG44" s="186"/>
      <c r="AH44" s="186"/>
      <c r="AI44" s="186"/>
      <c r="AJ44" s="186"/>
      <c r="AK44" s="186"/>
      <c r="AL44" s="34"/>
      <c r="AM44" s="34"/>
      <c r="AN44" s="34"/>
      <c r="AO44" s="187"/>
      <c r="AP44" s="187"/>
      <c r="AQ44" s="187"/>
      <c r="AR44" s="187"/>
      <c r="AS44" s="187"/>
      <c r="AT44" s="187"/>
      <c r="AU44" s="187"/>
      <c r="AV44" s="187"/>
      <c r="AW44" s="187"/>
      <c r="AX44" s="187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184"/>
      <c r="CG44" s="184"/>
      <c r="CH44" s="184"/>
      <c r="CI44" s="184"/>
      <c r="CJ44" s="184"/>
      <c r="CK44" s="184"/>
      <c r="CL44" s="184"/>
      <c r="CM44" s="184"/>
      <c r="CN44" s="184"/>
      <c r="CO44" s="184"/>
      <c r="CP44" s="184"/>
      <c r="CQ44" s="184"/>
      <c r="CR44" s="184"/>
      <c r="CS44" s="184"/>
      <c r="CT44" s="184"/>
      <c r="CU44" s="184"/>
      <c r="CV44" s="184"/>
      <c r="CW44" s="184"/>
      <c r="CX44" s="184"/>
      <c r="CY44" s="184"/>
      <c r="CZ44" s="36"/>
      <c r="DA44" s="36"/>
      <c r="DB44" s="36"/>
      <c r="DC44" s="36"/>
      <c r="DD44" s="30"/>
      <c r="DE44" s="104"/>
      <c r="DF44" s="29"/>
    </row>
    <row r="45" spans="1:110" ht="5.0999999999999996" customHeight="1" x14ac:dyDescent="0.25">
      <c r="A45" s="192"/>
      <c r="B45" s="30"/>
      <c r="C45" s="34"/>
      <c r="D45" s="34"/>
      <c r="E45" s="186" t="str">
        <f>IF(LEN(TRIM('4 доп.сведения'!B10))=0," ",'4 доп.сведения'!B10)</f>
        <v xml:space="preserve"> </v>
      </c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  <c r="AA45" s="186"/>
      <c r="AB45" s="186"/>
      <c r="AC45" s="186"/>
      <c r="AD45" s="186"/>
      <c r="AE45" s="186"/>
      <c r="AF45" s="186"/>
      <c r="AG45" s="186"/>
      <c r="AH45" s="186"/>
      <c r="AI45" s="186"/>
      <c r="AJ45" s="186"/>
      <c r="AK45" s="186"/>
      <c r="AL45" s="34"/>
      <c r="AM45" s="34"/>
      <c r="AN45" s="34"/>
      <c r="AO45" s="187" t="str">
        <f>IF(LEN(TRIM('4 доп.сведения'!C10))=0," ",'4 доп.сведения'!C10)</f>
        <v xml:space="preserve"> </v>
      </c>
      <c r="AP45" s="187"/>
      <c r="AQ45" s="187"/>
      <c r="AR45" s="187"/>
      <c r="AS45" s="187"/>
      <c r="AT45" s="187"/>
      <c r="AU45" s="187"/>
      <c r="AV45" s="187"/>
      <c r="AW45" s="187"/>
      <c r="AX45" s="187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184"/>
      <c r="CG45" s="184"/>
      <c r="CH45" s="184"/>
      <c r="CI45" s="184"/>
      <c r="CJ45" s="184"/>
      <c r="CK45" s="184"/>
      <c r="CL45" s="184"/>
      <c r="CM45" s="184"/>
      <c r="CN45" s="184"/>
      <c r="CO45" s="184"/>
      <c r="CP45" s="184"/>
      <c r="CQ45" s="184"/>
      <c r="CR45" s="184"/>
      <c r="CS45" s="184"/>
      <c r="CT45" s="184"/>
      <c r="CU45" s="184"/>
      <c r="CV45" s="184"/>
      <c r="CW45" s="184"/>
      <c r="CX45" s="184"/>
      <c r="CY45" s="184"/>
      <c r="CZ45" s="36"/>
      <c r="DA45" s="30"/>
      <c r="DB45" s="30"/>
      <c r="DC45" s="30"/>
      <c r="DD45" s="30"/>
      <c r="DE45" s="104"/>
      <c r="DF45" s="29"/>
    </row>
    <row r="46" spans="1:110" ht="5.0999999999999996" customHeight="1" x14ac:dyDescent="0.25">
      <c r="A46" s="192"/>
      <c r="B46" s="30"/>
      <c r="C46" s="34"/>
      <c r="D46" s="34"/>
      <c r="E46" s="186"/>
      <c r="F46" s="186"/>
      <c r="G46" s="186"/>
      <c r="H46" s="186"/>
      <c r="I46" s="186"/>
      <c r="J46" s="186"/>
      <c r="K46" s="186"/>
      <c r="L46" s="186"/>
      <c r="M46" s="186"/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  <c r="AA46" s="186"/>
      <c r="AB46" s="186"/>
      <c r="AC46" s="186"/>
      <c r="AD46" s="186"/>
      <c r="AE46" s="186"/>
      <c r="AF46" s="186"/>
      <c r="AG46" s="186"/>
      <c r="AH46" s="186"/>
      <c r="AI46" s="186"/>
      <c r="AJ46" s="186"/>
      <c r="AK46" s="186"/>
      <c r="AL46" s="34"/>
      <c r="AM46" s="34"/>
      <c r="AN46" s="34"/>
      <c r="AO46" s="187"/>
      <c r="AP46" s="187"/>
      <c r="AQ46" s="187"/>
      <c r="AR46" s="187"/>
      <c r="AS46" s="187"/>
      <c r="AT46" s="187"/>
      <c r="AU46" s="187"/>
      <c r="AV46" s="187"/>
      <c r="AW46" s="187"/>
      <c r="AX46" s="187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184"/>
      <c r="CG46" s="184"/>
      <c r="CH46" s="184"/>
      <c r="CI46" s="184"/>
      <c r="CJ46" s="184"/>
      <c r="CK46" s="184"/>
      <c r="CL46" s="184"/>
      <c r="CM46" s="184"/>
      <c r="CN46" s="184"/>
      <c r="CO46" s="184"/>
      <c r="CP46" s="184"/>
      <c r="CQ46" s="184"/>
      <c r="CR46" s="184"/>
      <c r="CS46" s="184"/>
      <c r="CT46" s="184"/>
      <c r="CU46" s="184"/>
      <c r="CV46" s="184"/>
      <c r="CW46" s="184"/>
      <c r="CX46" s="184"/>
      <c r="CY46" s="184"/>
      <c r="CZ46" s="36"/>
      <c r="DA46" s="30"/>
      <c r="DB46" s="30"/>
      <c r="DC46" s="30"/>
      <c r="DD46" s="30"/>
      <c r="DE46" s="104"/>
      <c r="DF46" s="29"/>
    </row>
    <row r="47" spans="1:110" ht="5.0999999999999996" customHeight="1" x14ac:dyDescent="0.25">
      <c r="A47" s="192"/>
      <c r="B47" s="30"/>
      <c r="C47" s="34"/>
      <c r="D47" s="34"/>
      <c r="E47" s="186" t="str">
        <f>IF(LEN(TRIM('4 доп.сведения'!B11))=0," ",'4 доп.сведения'!B11)</f>
        <v xml:space="preserve"> </v>
      </c>
      <c r="F47" s="186"/>
      <c r="G47" s="186"/>
      <c r="H47" s="186"/>
      <c r="I47" s="186"/>
      <c r="J47" s="186"/>
      <c r="K47" s="186"/>
      <c r="L47" s="186"/>
      <c r="M47" s="186"/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186"/>
      <c r="AA47" s="186"/>
      <c r="AB47" s="186"/>
      <c r="AC47" s="186"/>
      <c r="AD47" s="186"/>
      <c r="AE47" s="186"/>
      <c r="AF47" s="186"/>
      <c r="AG47" s="186"/>
      <c r="AH47" s="186"/>
      <c r="AI47" s="186"/>
      <c r="AJ47" s="186"/>
      <c r="AK47" s="186"/>
      <c r="AL47" s="34"/>
      <c r="AM47" s="34"/>
      <c r="AN47" s="34"/>
      <c r="AO47" s="187" t="str">
        <f>IF(LEN(TRIM('4 доп.сведения'!C11))=0," ",'4 доп.сведения'!C11)</f>
        <v xml:space="preserve"> </v>
      </c>
      <c r="AP47" s="187"/>
      <c r="AQ47" s="187"/>
      <c r="AR47" s="187"/>
      <c r="AS47" s="187"/>
      <c r="AT47" s="187"/>
      <c r="AU47" s="187"/>
      <c r="AV47" s="187"/>
      <c r="AW47" s="187"/>
      <c r="AX47" s="187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0"/>
      <c r="DB47" s="30"/>
      <c r="DC47" s="30"/>
      <c r="DD47" s="30"/>
      <c r="DE47" s="104"/>
      <c r="DF47" s="29"/>
    </row>
    <row r="48" spans="1:110" ht="5.0999999999999996" customHeight="1" x14ac:dyDescent="0.25">
      <c r="A48" s="192"/>
      <c r="B48" s="30"/>
      <c r="C48" s="34"/>
      <c r="D48" s="34"/>
      <c r="E48" s="186"/>
      <c r="F48" s="186"/>
      <c r="G48" s="186"/>
      <c r="H48" s="186"/>
      <c r="I48" s="186"/>
      <c r="J48" s="186"/>
      <c r="K48" s="186"/>
      <c r="L48" s="186"/>
      <c r="M48" s="186"/>
      <c r="N48" s="186"/>
      <c r="O48" s="186"/>
      <c r="P48" s="186"/>
      <c r="Q48" s="186"/>
      <c r="R48" s="186"/>
      <c r="S48" s="186"/>
      <c r="T48" s="186"/>
      <c r="U48" s="186"/>
      <c r="V48" s="186"/>
      <c r="W48" s="186"/>
      <c r="X48" s="186"/>
      <c r="Y48" s="186"/>
      <c r="Z48" s="186"/>
      <c r="AA48" s="186"/>
      <c r="AB48" s="186"/>
      <c r="AC48" s="186"/>
      <c r="AD48" s="186"/>
      <c r="AE48" s="186"/>
      <c r="AF48" s="186"/>
      <c r="AG48" s="186"/>
      <c r="AH48" s="186"/>
      <c r="AI48" s="186"/>
      <c r="AJ48" s="186"/>
      <c r="AK48" s="186"/>
      <c r="AL48" s="34"/>
      <c r="AM48" s="34"/>
      <c r="AN48" s="34"/>
      <c r="AO48" s="187"/>
      <c r="AP48" s="187"/>
      <c r="AQ48" s="187"/>
      <c r="AR48" s="187"/>
      <c r="AS48" s="187"/>
      <c r="AT48" s="187"/>
      <c r="AU48" s="187"/>
      <c r="AV48" s="187"/>
      <c r="AW48" s="187"/>
      <c r="AX48" s="187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104"/>
      <c r="DF48" s="29"/>
    </row>
    <row r="49" spans="1:110" ht="5.0999999999999996" customHeight="1" x14ac:dyDescent="0.25">
      <c r="A49" s="192"/>
      <c r="B49" s="30"/>
      <c r="C49" s="34"/>
      <c r="D49" s="34"/>
      <c r="E49" s="186" t="str">
        <f>IF(LEN(TRIM('4 доп.сведения'!B12))=0," ",'4 доп.сведения'!B12)</f>
        <v xml:space="preserve"> </v>
      </c>
      <c r="F49" s="186"/>
      <c r="G49" s="186"/>
      <c r="H49" s="186"/>
      <c r="I49" s="186"/>
      <c r="J49" s="186"/>
      <c r="K49" s="186"/>
      <c r="L49" s="186"/>
      <c r="M49" s="186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  <c r="AA49" s="186"/>
      <c r="AB49" s="186"/>
      <c r="AC49" s="186"/>
      <c r="AD49" s="186"/>
      <c r="AE49" s="186"/>
      <c r="AF49" s="186"/>
      <c r="AG49" s="186"/>
      <c r="AH49" s="186"/>
      <c r="AI49" s="186"/>
      <c r="AJ49" s="186"/>
      <c r="AK49" s="186"/>
      <c r="AL49" s="34"/>
      <c r="AM49" s="34"/>
      <c r="AN49" s="34"/>
      <c r="AO49" s="187" t="str">
        <f>IF(LEN(TRIM('4 доп.сведения'!C12))=0," ",'4 доп.сведения'!C12)</f>
        <v xml:space="preserve"> </v>
      </c>
      <c r="AP49" s="187"/>
      <c r="AQ49" s="187"/>
      <c r="AR49" s="187"/>
      <c r="AS49" s="187"/>
      <c r="AT49" s="187"/>
      <c r="AU49" s="187"/>
      <c r="AV49" s="187"/>
      <c r="AW49" s="187"/>
      <c r="AX49" s="187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104"/>
      <c r="DF49" s="29"/>
    </row>
    <row r="50" spans="1:110" ht="5.0999999999999996" customHeight="1" x14ac:dyDescent="0.25">
      <c r="A50" s="192"/>
      <c r="B50" s="30"/>
      <c r="C50" s="34"/>
      <c r="D50" s="34"/>
      <c r="E50" s="186"/>
      <c r="F50" s="186"/>
      <c r="G50" s="186"/>
      <c r="H50" s="186"/>
      <c r="I50" s="186"/>
      <c r="J50" s="186"/>
      <c r="K50" s="186"/>
      <c r="L50" s="186"/>
      <c r="M50" s="186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  <c r="AA50" s="186"/>
      <c r="AB50" s="186"/>
      <c r="AC50" s="186"/>
      <c r="AD50" s="186"/>
      <c r="AE50" s="186"/>
      <c r="AF50" s="186"/>
      <c r="AG50" s="186"/>
      <c r="AH50" s="186"/>
      <c r="AI50" s="186"/>
      <c r="AJ50" s="186"/>
      <c r="AK50" s="186"/>
      <c r="AL50" s="34"/>
      <c r="AM50" s="34"/>
      <c r="AN50" s="34"/>
      <c r="AO50" s="187"/>
      <c r="AP50" s="187"/>
      <c r="AQ50" s="187"/>
      <c r="AR50" s="187"/>
      <c r="AS50" s="187"/>
      <c r="AT50" s="187"/>
      <c r="AU50" s="187"/>
      <c r="AV50" s="187"/>
      <c r="AW50" s="187"/>
      <c r="AX50" s="187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104"/>
      <c r="DF50" s="29"/>
    </row>
    <row r="51" spans="1:110" ht="5.0999999999999996" customHeight="1" x14ac:dyDescent="0.25">
      <c r="A51" s="192"/>
      <c r="B51" s="30"/>
      <c r="C51" s="34"/>
      <c r="D51" s="34"/>
      <c r="E51" s="186" t="str">
        <f>IF(LEN(TRIM('4 доп.сведения'!B13))=0," ",'4 доп.сведения'!B13)</f>
        <v xml:space="preserve"> </v>
      </c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  <c r="AA51" s="186"/>
      <c r="AB51" s="186"/>
      <c r="AC51" s="186"/>
      <c r="AD51" s="186"/>
      <c r="AE51" s="186"/>
      <c r="AF51" s="186"/>
      <c r="AG51" s="186"/>
      <c r="AH51" s="186"/>
      <c r="AI51" s="186"/>
      <c r="AJ51" s="186"/>
      <c r="AK51" s="186"/>
      <c r="AL51" s="34"/>
      <c r="AM51" s="34"/>
      <c r="AN51" s="34"/>
      <c r="AO51" s="187" t="str">
        <f>IF(LEN(TRIM('4 доп.сведения'!C13))=0," ",'4 доп.сведения'!C13)</f>
        <v xml:space="preserve"> </v>
      </c>
      <c r="AP51" s="187"/>
      <c r="AQ51" s="187"/>
      <c r="AR51" s="187"/>
      <c r="AS51" s="187"/>
      <c r="AT51" s="187"/>
      <c r="AU51" s="187"/>
      <c r="AV51" s="187"/>
      <c r="AW51" s="187"/>
      <c r="AX51" s="187"/>
      <c r="AY51" s="30"/>
      <c r="AZ51" s="30"/>
      <c r="BA51" s="30"/>
      <c r="BB51" s="30"/>
      <c r="BC51" s="37"/>
      <c r="BD51" s="37"/>
      <c r="BE51" s="191" t="str">
        <f>Диплом!B2</f>
        <v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v>
      </c>
      <c r="BF51" s="191"/>
      <c r="BG51" s="191"/>
      <c r="BH51" s="191"/>
      <c r="BI51" s="191"/>
      <c r="BJ51" s="191"/>
      <c r="BK51" s="191"/>
      <c r="BL51" s="191"/>
      <c r="BM51" s="191"/>
      <c r="BN51" s="191"/>
      <c r="BO51" s="191"/>
      <c r="BP51" s="191"/>
      <c r="BQ51" s="191"/>
      <c r="BR51" s="191"/>
      <c r="BS51" s="191"/>
      <c r="BT51" s="191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104"/>
      <c r="DF51" s="29"/>
    </row>
    <row r="52" spans="1:110" ht="5.0999999999999996" customHeight="1" x14ac:dyDescent="0.25">
      <c r="A52" s="192"/>
      <c r="B52" s="30"/>
      <c r="C52" s="34"/>
      <c r="D52" s="34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  <c r="Z52" s="186"/>
      <c r="AA52" s="186"/>
      <c r="AB52" s="186"/>
      <c r="AC52" s="186"/>
      <c r="AD52" s="186"/>
      <c r="AE52" s="186"/>
      <c r="AF52" s="186"/>
      <c r="AG52" s="186"/>
      <c r="AH52" s="186"/>
      <c r="AI52" s="186"/>
      <c r="AJ52" s="186"/>
      <c r="AK52" s="186"/>
      <c r="AL52" s="34"/>
      <c r="AM52" s="34"/>
      <c r="AN52" s="34"/>
      <c r="AO52" s="187"/>
      <c r="AP52" s="187"/>
      <c r="AQ52" s="187"/>
      <c r="AR52" s="187"/>
      <c r="AS52" s="187"/>
      <c r="AT52" s="187"/>
      <c r="AU52" s="187"/>
      <c r="AV52" s="187"/>
      <c r="AW52" s="187"/>
      <c r="AX52" s="187"/>
      <c r="AY52" s="30"/>
      <c r="AZ52" s="30"/>
      <c r="BA52" s="30"/>
      <c r="BB52" s="30"/>
      <c r="BC52" s="37"/>
      <c r="BD52" s="37"/>
      <c r="BE52" s="191"/>
      <c r="BF52" s="191"/>
      <c r="BG52" s="191"/>
      <c r="BH52" s="191"/>
      <c r="BI52" s="191"/>
      <c r="BJ52" s="191"/>
      <c r="BK52" s="191"/>
      <c r="BL52" s="191"/>
      <c r="BM52" s="191"/>
      <c r="BN52" s="191"/>
      <c r="BO52" s="191"/>
      <c r="BP52" s="191"/>
      <c r="BQ52" s="191"/>
      <c r="BR52" s="191"/>
      <c r="BS52" s="191"/>
      <c r="BT52" s="191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104"/>
      <c r="DF52" s="29"/>
    </row>
    <row r="53" spans="1:110" ht="5.0999999999999996" customHeight="1" x14ac:dyDescent="0.25">
      <c r="A53" s="104"/>
      <c r="B53" s="30"/>
      <c r="C53" s="34"/>
      <c r="D53" s="34"/>
      <c r="E53" s="186" t="str">
        <f>IF(LEN(TRIM('4 доп.сведения'!B14))=0," ",'4 доп.сведения'!B14)</f>
        <v xml:space="preserve"> </v>
      </c>
      <c r="F53" s="186"/>
      <c r="G53" s="186"/>
      <c r="H53" s="186"/>
      <c r="I53" s="186"/>
      <c r="J53" s="186"/>
      <c r="K53" s="186"/>
      <c r="L53" s="186"/>
      <c r="M53" s="186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  <c r="AA53" s="186"/>
      <c r="AB53" s="186"/>
      <c r="AC53" s="186"/>
      <c r="AD53" s="186"/>
      <c r="AE53" s="186"/>
      <c r="AF53" s="186"/>
      <c r="AG53" s="186"/>
      <c r="AH53" s="186"/>
      <c r="AI53" s="186"/>
      <c r="AJ53" s="186"/>
      <c r="AK53" s="186"/>
      <c r="AL53" s="34"/>
      <c r="AM53" s="34"/>
      <c r="AN53" s="34"/>
      <c r="AO53" s="187" t="str">
        <f>IF(LEN(TRIM('4 доп.сведения'!C14))=0," ",'4 доп.сведения'!C14)</f>
        <v xml:space="preserve"> </v>
      </c>
      <c r="AP53" s="187"/>
      <c r="AQ53" s="187"/>
      <c r="AR53" s="187"/>
      <c r="AS53" s="187"/>
      <c r="AT53" s="187"/>
      <c r="AU53" s="187"/>
      <c r="AV53" s="187"/>
      <c r="AW53" s="187"/>
      <c r="AX53" s="187"/>
      <c r="AY53" s="30"/>
      <c r="AZ53" s="30"/>
      <c r="BA53" s="30"/>
      <c r="BB53" s="30"/>
      <c r="BC53" s="37"/>
      <c r="BD53" s="37"/>
      <c r="BE53" s="191"/>
      <c r="BF53" s="191"/>
      <c r="BG53" s="191"/>
      <c r="BH53" s="191"/>
      <c r="BI53" s="191"/>
      <c r="BJ53" s="191"/>
      <c r="BK53" s="191"/>
      <c r="BL53" s="191"/>
      <c r="BM53" s="191"/>
      <c r="BN53" s="191"/>
      <c r="BO53" s="191"/>
      <c r="BP53" s="191"/>
      <c r="BQ53" s="191"/>
      <c r="BR53" s="191"/>
      <c r="BS53" s="191"/>
      <c r="BT53" s="191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104"/>
      <c r="DF53" s="29"/>
    </row>
    <row r="54" spans="1:110" ht="5.0999999999999996" customHeight="1" x14ac:dyDescent="0.25">
      <c r="A54" s="104"/>
      <c r="B54" s="30"/>
      <c r="C54" s="34"/>
      <c r="D54" s="34"/>
      <c r="E54" s="186"/>
      <c r="F54" s="186"/>
      <c r="G54" s="186"/>
      <c r="H54" s="186"/>
      <c r="I54" s="186"/>
      <c r="J54" s="186"/>
      <c r="K54" s="186"/>
      <c r="L54" s="186"/>
      <c r="M54" s="186"/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  <c r="AA54" s="186"/>
      <c r="AB54" s="186"/>
      <c r="AC54" s="186"/>
      <c r="AD54" s="186"/>
      <c r="AE54" s="186"/>
      <c r="AF54" s="186"/>
      <c r="AG54" s="186"/>
      <c r="AH54" s="186"/>
      <c r="AI54" s="186"/>
      <c r="AJ54" s="186"/>
      <c r="AK54" s="186"/>
      <c r="AL54" s="34"/>
      <c r="AM54" s="34"/>
      <c r="AN54" s="34"/>
      <c r="AO54" s="187"/>
      <c r="AP54" s="187"/>
      <c r="AQ54" s="187"/>
      <c r="AR54" s="187"/>
      <c r="AS54" s="187"/>
      <c r="AT54" s="187"/>
      <c r="AU54" s="187"/>
      <c r="AV54" s="187"/>
      <c r="AW54" s="187"/>
      <c r="AX54" s="187"/>
      <c r="AY54" s="30"/>
      <c r="AZ54" s="30"/>
      <c r="BA54" s="30"/>
      <c r="BB54" s="30"/>
      <c r="BC54" s="37"/>
      <c r="BD54" s="37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104"/>
      <c r="DF54" s="29"/>
    </row>
    <row r="55" spans="1:110" ht="5.0999999999999996" customHeight="1" x14ac:dyDescent="0.25">
      <c r="A55" s="104"/>
      <c r="B55" s="30"/>
      <c r="C55" s="34"/>
      <c r="D55" s="34"/>
      <c r="E55" s="186" t="str">
        <f>IF(LEN(TRIM('4 доп.сведения'!B15))=0," ",'4 доп.сведения'!B15)</f>
        <v xml:space="preserve"> </v>
      </c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  <c r="AA55" s="186"/>
      <c r="AB55" s="186"/>
      <c r="AC55" s="186"/>
      <c r="AD55" s="186"/>
      <c r="AE55" s="186"/>
      <c r="AF55" s="186"/>
      <c r="AG55" s="186"/>
      <c r="AH55" s="186"/>
      <c r="AI55" s="186"/>
      <c r="AJ55" s="186"/>
      <c r="AK55" s="186"/>
      <c r="AL55" s="34"/>
      <c r="AM55" s="34"/>
      <c r="AN55" s="34"/>
      <c r="AO55" s="187" t="str">
        <f>IF(LEN(TRIM('4 доп.сведения'!C15))=0," ",'4 доп.сведения'!C15)</f>
        <v xml:space="preserve"> </v>
      </c>
      <c r="AP55" s="187"/>
      <c r="AQ55" s="187"/>
      <c r="AR55" s="187"/>
      <c r="AS55" s="187"/>
      <c r="AT55" s="187"/>
      <c r="AU55" s="187"/>
      <c r="AV55" s="187"/>
      <c r="AW55" s="187"/>
      <c r="AX55" s="187"/>
      <c r="AY55" s="30"/>
      <c r="AZ55" s="30"/>
      <c r="BA55" s="30"/>
      <c r="BB55" s="30"/>
      <c r="BC55" s="37"/>
      <c r="BD55" s="37"/>
      <c r="BE55" s="191"/>
      <c r="BF55" s="191"/>
      <c r="BG55" s="191"/>
      <c r="BH55" s="191"/>
      <c r="BI55" s="191"/>
      <c r="BJ55" s="191"/>
      <c r="BK55" s="191"/>
      <c r="BL55" s="191"/>
      <c r="BM55" s="191"/>
      <c r="BN55" s="191"/>
      <c r="BO55" s="191"/>
      <c r="BP55" s="191"/>
      <c r="BQ55" s="191"/>
      <c r="BR55" s="191"/>
      <c r="BS55" s="191"/>
      <c r="BT55" s="191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113"/>
      <c r="DB55" s="113"/>
      <c r="DC55" s="113"/>
      <c r="DD55" s="30"/>
      <c r="DE55" s="104"/>
      <c r="DF55" s="29"/>
    </row>
    <row r="56" spans="1:110" ht="5.0999999999999996" customHeight="1" x14ac:dyDescent="0.25">
      <c r="A56" s="104"/>
      <c r="B56" s="30"/>
      <c r="C56" s="34"/>
      <c r="D56" s="34"/>
      <c r="E56" s="186"/>
      <c r="F56" s="186"/>
      <c r="G56" s="186"/>
      <c r="H56" s="186"/>
      <c r="I56" s="186"/>
      <c r="J56" s="186"/>
      <c r="K56" s="186"/>
      <c r="L56" s="186"/>
      <c r="M56" s="186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  <c r="AA56" s="186"/>
      <c r="AB56" s="186"/>
      <c r="AC56" s="186"/>
      <c r="AD56" s="186"/>
      <c r="AE56" s="186"/>
      <c r="AF56" s="186"/>
      <c r="AG56" s="186"/>
      <c r="AH56" s="186"/>
      <c r="AI56" s="186"/>
      <c r="AJ56" s="186"/>
      <c r="AK56" s="186"/>
      <c r="AL56" s="34"/>
      <c r="AM56" s="34"/>
      <c r="AN56" s="34"/>
      <c r="AO56" s="187"/>
      <c r="AP56" s="187"/>
      <c r="AQ56" s="187"/>
      <c r="AR56" s="187"/>
      <c r="AS56" s="187"/>
      <c r="AT56" s="187"/>
      <c r="AU56" s="187"/>
      <c r="AV56" s="187"/>
      <c r="AW56" s="187"/>
      <c r="AX56" s="187"/>
      <c r="AY56" s="30"/>
      <c r="AZ56" s="30"/>
      <c r="BA56" s="30"/>
      <c r="BB56" s="30"/>
      <c r="BC56" s="37"/>
      <c r="BD56" s="37"/>
      <c r="BE56" s="191"/>
      <c r="BF56" s="191"/>
      <c r="BG56" s="191"/>
      <c r="BH56" s="191"/>
      <c r="BI56" s="191"/>
      <c r="BJ56" s="191"/>
      <c r="BK56" s="191"/>
      <c r="BL56" s="191"/>
      <c r="BM56" s="191"/>
      <c r="BN56" s="191"/>
      <c r="BO56" s="191"/>
      <c r="BP56" s="191"/>
      <c r="BQ56" s="191"/>
      <c r="BR56" s="191"/>
      <c r="BS56" s="191"/>
      <c r="BT56" s="191"/>
      <c r="BU56" s="37"/>
      <c r="BV56" s="37"/>
      <c r="BW56" s="190" t="str">
        <f>IF(LEN(TRIM('1 Обладатель диплома'!B8 &amp; " " &amp;'1 Обладатель диплома'!B9))=0," ",'1 Обладатель диплома'!B8 &amp; " " &amp;'1 Обладатель диплома'!B9)</f>
        <v xml:space="preserve"> </v>
      </c>
      <c r="BX56" s="190"/>
      <c r="BY56" s="190"/>
      <c r="BZ56" s="190"/>
      <c r="CA56" s="190"/>
      <c r="CB56" s="190"/>
      <c r="CC56" s="190"/>
      <c r="CD56" s="190"/>
      <c r="CE56" s="190"/>
      <c r="CF56" s="190"/>
      <c r="CG56" s="190"/>
      <c r="CH56" s="190"/>
      <c r="CI56" s="190"/>
      <c r="CJ56" s="190"/>
      <c r="CK56" s="190"/>
      <c r="CL56" s="190"/>
      <c r="CM56" s="190"/>
      <c r="CN56" s="190"/>
      <c r="CO56" s="190"/>
      <c r="CP56" s="190"/>
      <c r="CQ56" s="190"/>
      <c r="CR56" s="190"/>
      <c r="CS56" s="190"/>
      <c r="CT56" s="190"/>
      <c r="CU56" s="190"/>
      <c r="CV56" s="190"/>
      <c r="CW56" s="190"/>
      <c r="CX56" s="190"/>
      <c r="CY56" s="190"/>
      <c r="CZ56" s="190"/>
      <c r="DA56" s="190"/>
      <c r="DB56" s="190"/>
      <c r="DC56" s="190"/>
      <c r="DD56" s="30"/>
      <c r="DE56" s="104"/>
      <c r="DF56" s="29"/>
    </row>
    <row r="57" spans="1:110" ht="5.0999999999999996" customHeight="1" x14ac:dyDescent="0.25">
      <c r="A57" s="104"/>
      <c r="B57" s="30"/>
      <c r="C57" s="34"/>
      <c r="D57" s="34"/>
      <c r="E57" s="186" t="str">
        <f>IF(LEN(TRIM('4 доп.сведения'!B16))=0," ",'4 доп.сведения'!B16)</f>
        <v xml:space="preserve"> </v>
      </c>
      <c r="F57" s="186"/>
      <c r="G57" s="186"/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  <c r="AA57" s="186"/>
      <c r="AB57" s="186"/>
      <c r="AC57" s="186"/>
      <c r="AD57" s="186"/>
      <c r="AE57" s="186"/>
      <c r="AF57" s="186"/>
      <c r="AG57" s="186"/>
      <c r="AH57" s="186"/>
      <c r="AI57" s="186"/>
      <c r="AJ57" s="186"/>
      <c r="AK57" s="186"/>
      <c r="AL57" s="34"/>
      <c r="AM57" s="34"/>
      <c r="AN57" s="34"/>
      <c r="AO57" s="187" t="str">
        <f>IF(LEN(TRIM('4 доп.сведения'!C16))=0," ",'4 доп.сведения'!C16)</f>
        <v xml:space="preserve"> </v>
      </c>
      <c r="AP57" s="187"/>
      <c r="AQ57" s="187"/>
      <c r="AR57" s="187"/>
      <c r="AS57" s="187"/>
      <c r="AT57" s="187"/>
      <c r="AU57" s="187"/>
      <c r="AV57" s="187"/>
      <c r="AW57" s="187"/>
      <c r="AX57" s="187"/>
      <c r="AY57" s="30"/>
      <c r="AZ57" s="30"/>
      <c r="BA57" s="30"/>
      <c r="BB57" s="30"/>
      <c r="BC57" s="37"/>
      <c r="BD57" s="37"/>
      <c r="BE57" s="191"/>
      <c r="BF57" s="191"/>
      <c r="BG57" s="191"/>
      <c r="BH57" s="191"/>
      <c r="BI57" s="191"/>
      <c r="BJ57" s="191"/>
      <c r="BK57" s="191"/>
      <c r="BL57" s="191"/>
      <c r="BM57" s="191"/>
      <c r="BN57" s="191"/>
      <c r="BO57" s="191"/>
      <c r="BP57" s="191"/>
      <c r="BQ57" s="191"/>
      <c r="BR57" s="191"/>
      <c r="BS57" s="191"/>
      <c r="BT57" s="191"/>
      <c r="BU57" s="37"/>
      <c r="BV57" s="37"/>
      <c r="BW57" s="190"/>
      <c r="BX57" s="190"/>
      <c r="BY57" s="190"/>
      <c r="BZ57" s="190"/>
      <c r="CA57" s="190"/>
      <c r="CB57" s="190"/>
      <c r="CC57" s="190"/>
      <c r="CD57" s="190"/>
      <c r="CE57" s="190"/>
      <c r="CF57" s="190"/>
      <c r="CG57" s="190"/>
      <c r="CH57" s="190"/>
      <c r="CI57" s="190"/>
      <c r="CJ57" s="190"/>
      <c r="CK57" s="190"/>
      <c r="CL57" s="190"/>
      <c r="CM57" s="190"/>
      <c r="CN57" s="190"/>
      <c r="CO57" s="190"/>
      <c r="CP57" s="190"/>
      <c r="CQ57" s="190"/>
      <c r="CR57" s="190"/>
      <c r="CS57" s="190"/>
      <c r="CT57" s="190"/>
      <c r="CU57" s="190"/>
      <c r="CV57" s="190"/>
      <c r="CW57" s="190"/>
      <c r="CX57" s="190"/>
      <c r="CY57" s="190"/>
      <c r="CZ57" s="190"/>
      <c r="DA57" s="190"/>
      <c r="DB57" s="190"/>
      <c r="DC57" s="190"/>
      <c r="DD57" s="30"/>
      <c r="DE57" s="104"/>
      <c r="DF57" s="29"/>
    </row>
    <row r="58" spans="1:110" ht="5.0999999999999996" customHeight="1" x14ac:dyDescent="0.25">
      <c r="A58" s="104"/>
      <c r="B58" s="30"/>
      <c r="C58" s="34"/>
      <c r="D58" s="34"/>
      <c r="E58" s="186"/>
      <c r="F58" s="186"/>
      <c r="G58" s="186"/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  <c r="AA58" s="186"/>
      <c r="AB58" s="186"/>
      <c r="AC58" s="186"/>
      <c r="AD58" s="186"/>
      <c r="AE58" s="186"/>
      <c r="AF58" s="186"/>
      <c r="AG58" s="186"/>
      <c r="AH58" s="186"/>
      <c r="AI58" s="186"/>
      <c r="AJ58" s="186"/>
      <c r="AK58" s="186"/>
      <c r="AL58" s="34"/>
      <c r="AM58" s="34"/>
      <c r="AN58" s="34"/>
      <c r="AO58" s="187"/>
      <c r="AP58" s="187"/>
      <c r="AQ58" s="187"/>
      <c r="AR58" s="187"/>
      <c r="AS58" s="187"/>
      <c r="AT58" s="187"/>
      <c r="AU58" s="187"/>
      <c r="AV58" s="187"/>
      <c r="AW58" s="187"/>
      <c r="AX58" s="187"/>
      <c r="AY58" s="30"/>
      <c r="AZ58" s="30"/>
      <c r="BA58" s="30"/>
      <c r="BB58" s="30"/>
      <c r="BC58" s="37"/>
      <c r="BD58" s="37"/>
      <c r="BE58" s="191"/>
      <c r="BF58" s="191"/>
      <c r="BG58" s="191"/>
      <c r="BH58" s="191"/>
      <c r="BI58" s="191"/>
      <c r="BJ58" s="191"/>
      <c r="BK58" s="191"/>
      <c r="BL58" s="191"/>
      <c r="BM58" s="191"/>
      <c r="BN58" s="191"/>
      <c r="BO58" s="191"/>
      <c r="BP58" s="191"/>
      <c r="BQ58" s="191"/>
      <c r="BR58" s="191"/>
      <c r="BS58" s="191"/>
      <c r="BT58" s="191"/>
      <c r="BU58" s="37"/>
      <c r="BV58" s="37"/>
      <c r="BW58" s="190"/>
      <c r="BX58" s="190"/>
      <c r="BY58" s="190"/>
      <c r="BZ58" s="190"/>
      <c r="CA58" s="190"/>
      <c r="CB58" s="190"/>
      <c r="CC58" s="190"/>
      <c r="CD58" s="190"/>
      <c r="CE58" s="190"/>
      <c r="CF58" s="190"/>
      <c r="CG58" s="190"/>
      <c r="CH58" s="190"/>
      <c r="CI58" s="190"/>
      <c r="CJ58" s="190"/>
      <c r="CK58" s="190"/>
      <c r="CL58" s="190"/>
      <c r="CM58" s="190"/>
      <c r="CN58" s="190"/>
      <c r="CO58" s="190"/>
      <c r="CP58" s="190"/>
      <c r="CQ58" s="190"/>
      <c r="CR58" s="190"/>
      <c r="CS58" s="190"/>
      <c r="CT58" s="190"/>
      <c r="CU58" s="190"/>
      <c r="CV58" s="190"/>
      <c r="CW58" s="190"/>
      <c r="CX58" s="190"/>
      <c r="CY58" s="190"/>
      <c r="CZ58" s="190"/>
      <c r="DA58" s="190"/>
      <c r="DB58" s="190"/>
      <c r="DC58" s="190"/>
      <c r="DD58" s="30"/>
      <c r="DE58" s="104"/>
      <c r="DF58" s="29"/>
    </row>
    <row r="59" spans="1:110" ht="5.0999999999999996" customHeight="1" x14ac:dyDescent="0.25">
      <c r="A59" s="104"/>
      <c r="B59" s="30"/>
      <c r="C59" s="34"/>
      <c r="D59" s="34"/>
      <c r="E59" s="186" t="str">
        <f>IF(LEN(TRIM('4 доп.сведения'!B17))=0," ",'4 доп.сведения'!B17)</f>
        <v xml:space="preserve"> </v>
      </c>
      <c r="F59" s="186"/>
      <c r="G59" s="186"/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6"/>
      <c r="AB59" s="186"/>
      <c r="AC59" s="186"/>
      <c r="AD59" s="186"/>
      <c r="AE59" s="186"/>
      <c r="AF59" s="186"/>
      <c r="AG59" s="186"/>
      <c r="AH59" s="186"/>
      <c r="AI59" s="186"/>
      <c r="AJ59" s="186"/>
      <c r="AK59" s="186"/>
      <c r="AL59" s="34"/>
      <c r="AM59" s="34"/>
      <c r="AN59" s="34"/>
      <c r="AO59" s="187" t="str">
        <f>IF(LEN(TRIM('4 доп.сведения'!C17))=0," ",'4 доп.сведения'!C17)</f>
        <v xml:space="preserve"> </v>
      </c>
      <c r="AP59" s="187"/>
      <c r="AQ59" s="187"/>
      <c r="AR59" s="187"/>
      <c r="AS59" s="187"/>
      <c r="AT59" s="187"/>
      <c r="AU59" s="187"/>
      <c r="AV59" s="187"/>
      <c r="AW59" s="187"/>
      <c r="AX59" s="187"/>
      <c r="AY59" s="30"/>
      <c r="AZ59" s="30"/>
      <c r="BA59" s="30"/>
      <c r="BB59" s="30"/>
      <c r="BC59" s="37"/>
      <c r="BD59" s="37"/>
      <c r="BE59" s="191"/>
      <c r="BF59" s="191"/>
      <c r="BG59" s="191"/>
      <c r="BH59" s="191"/>
      <c r="BI59" s="191"/>
      <c r="BJ59" s="191"/>
      <c r="BK59" s="191"/>
      <c r="BL59" s="191"/>
      <c r="BM59" s="191"/>
      <c r="BN59" s="191"/>
      <c r="BO59" s="191"/>
      <c r="BP59" s="191"/>
      <c r="BQ59" s="191"/>
      <c r="BR59" s="191"/>
      <c r="BS59" s="191"/>
      <c r="BT59" s="191"/>
      <c r="BU59" s="37"/>
      <c r="BV59" s="37"/>
      <c r="BW59" s="190"/>
      <c r="BX59" s="190"/>
      <c r="BY59" s="190"/>
      <c r="BZ59" s="190"/>
      <c r="CA59" s="190"/>
      <c r="CB59" s="190"/>
      <c r="CC59" s="190"/>
      <c r="CD59" s="190"/>
      <c r="CE59" s="190"/>
      <c r="CF59" s="190"/>
      <c r="CG59" s="190"/>
      <c r="CH59" s="190"/>
      <c r="CI59" s="190"/>
      <c r="CJ59" s="190"/>
      <c r="CK59" s="190"/>
      <c r="CL59" s="190"/>
      <c r="CM59" s="190"/>
      <c r="CN59" s="190"/>
      <c r="CO59" s="190"/>
      <c r="CP59" s="190"/>
      <c r="CQ59" s="190"/>
      <c r="CR59" s="190"/>
      <c r="CS59" s="190"/>
      <c r="CT59" s="190"/>
      <c r="CU59" s="190"/>
      <c r="CV59" s="190"/>
      <c r="CW59" s="190"/>
      <c r="CX59" s="190"/>
      <c r="CY59" s="190"/>
      <c r="CZ59" s="190"/>
      <c r="DA59" s="190"/>
      <c r="DB59" s="190"/>
      <c r="DC59" s="190"/>
      <c r="DD59" s="30"/>
      <c r="DE59" s="104"/>
      <c r="DF59" s="29"/>
    </row>
    <row r="60" spans="1:110" ht="5.0999999999999996" customHeight="1" x14ac:dyDescent="0.25">
      <c r="A60" s="104"/>
      <c r="B60" s="30"/>
      <c r="C60" s="34"/>
      <c r="D60" s="34"/>
      <c r="E60" s="186"/>
      <c r="F60" s="186"/>
      <c r="G60" s="186"/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6"/>
      <c r="AB60" s="186"/>
      <c r="AC60" s="186"/>
      <c r="AD60" s="186"/>
      <c r="AE60" s="186"/>
      <c r="AF60" s="186"/>
      <c r="AG60" s="186"/>
      <c r="AH60" s="186"/>
      <c r="AI60" s="186"/>
      <c r="AJ60" s="186"/>
      <c r="AK60" s="186"/>
      <c r="AL60" s="34"/>
      <c r="AM60" s="34"/>
      <c r="AN60" s="34"/>
      <c r="AO60" s="187"/>
      <c r="AP60" s="187"/>
      <c r="AQ60" s="187"/>
      <c r="AR60" s="187"/>
      <c r="AS60" s="187"/>
      <c r="AT60" s="187"/>
      <c r="AU60" s="187"/>
      <c r="AV60" s="187"/>
      <c r="AW60" s="187"/>
      <c r="AX60" s="187"/>
      <c r="AY60" s="30"/>
      <c r="AZ60" s="30"/>
      <c r="BA60" s="30"/>
      <c r="BB60" s="30"/>
      <c r="BC60" s="37"/>
      <c r="BD60" s="37"/>
      <c r="BE60" s="191"/>
      <c r="BF60" s="191"/>
      <c r="BG60" s="191"/>
      <c r="BH60" s="191"/>
      <c r="BI60" s="191"/>
      <c r="BJ60" s="191"/>
      <c r="BK60" s="191"/>
      <c r="BL60" s="191"/>
      <c r="BM60" s="191"/>
      <c r="BN60" s="191"/>
      <c r="BO60" s="191"/>
      <c r="BP60" s="191"/>
      <c r="BQ60" s="191"/>
      <c r="BR60" s="191"/>
      <c r="BS60" s="191"/>
      <c r="BT60" s="191"/>
      <c r="BU60" s="37"/>
      <c r="BV60" s="37"/>
      <c r="BW60" s="190"/>
      <c r="BX60" s="190"/>
      <c r="BY60" s="190"/>
      <c r="BZ60" s="190"/>
      <c r="CA60" s="190"/>
      <c r="CB60" s="190"/>
      <c r="CC60" s="190"/>
      <c r="CD60" s="190"/>
      <c r="CE60" s="190"/>
      <c r="CF60" s="190"/>
      <c r="CG60" s="190"/>
      <c r="CH60" s="190"/>
      <c r="CI60" s="190"/>
      <c r="CJ60" s="190"/>
      <c r="CK60" s="190"/>
      <c r="CL60" s="190"/>
      <c r="CM60" s="190"/>
      <c r="CN60" s="190"/>
      <c r="CO60" s="190"/>
      <c r="CP60" s="190"/>
      <c r="CQ60" s="190"/>
      <c r="CR60" s="190"/>
      <c r="CS60" s="190"/>
      <c r="CT60" s="190"/>
      <c r="CU60" s="190"/>
      <c r="CV60" s="190"/>
      <c r="CW60" s="190"/>
      <c r="CX60" s="190"/>
      <c r="CY60" s="190"/>
      <c r="CZ60" s="190"/>
      <c r="DA60" s="190"/>
      <c r="DB60" s="190"/>
      <c r="DC60" s="190"/>
      <c r="DD60" s="30"/>
      <c r="DE60" s="104"/>
      <c r="DF60" s="29"/>
    </row>
    <row r="61" spans="1:110" ht="5.0999999999999996" customHeight="1" x14ac:dyDescent="0.25">
      <c r="A61" s="104"/>
      <c r="B61" s="30"/>
      <c r="C61" s="34"/>
      <c r="D61" s="34"/>
      <c r="E61" s="186" t="str">
        <f>IF(LEN(TRIM('4 доп.сведения'!B18))=0," ",'4 доп.сведения'!B18)</f>
        <v xml:space="preserve"> </v>
      </c>
      <c r="F61" s="186"/>
      <c r="G61" s="186"/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  <c r="AA61" s="186"/>
      <c r="AB61" s="186"/>
      <c r="AC61" s="186"/>
      <c r="AD61" s="186"/>
      <c r="AE61" s="186"/>
      <c r="AF61" s="186"/>
      <c r="AG61" s="186"/>
      <c r="AH61" s="186"/>
      <c r="AI61" s="186"/>
      <c r="AJ61" s="186"/>
      <c r="AK61" s="186"/>
      <c r="AL61" s="34"/>
      <c r="AM61" s="34"/>
      <c r="AN61" s="34"/>
      <c r="AO61" s="187" t="str">
        <f>IF(LEN(TRIM('4 доп.сведения'!C18))=0," ",'4 доп.сведения'!C18)</f>
        <v xml:space="preserve"> </v>
      </c>
      <c r="AP61" s="187"/>
      <c r="AQ61" s="187"/>
      <c r="AR61" s="187"/>
      <c r="AS61" s="187"/>
      <c r="AT61" s="187"/>
      <c r="AU61" s="187"/>
      <c r="AV61" s="187"/>
      <c r="AW61" s="187"/>
      <c r="AX61" s="187"/>
      <c r="AY61" s="30"/>
      <c r="AZ61" s="30"/>
      <c r="BA61" s="30"/>
      <c r="BB61" s="30"/>
      <c r="BC61" s="37"/>
      <c r="BD61" s="37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37"/>
      <c r="BV61" s="37"/>
      <c r="BW61" s="190"/>
      <c r="BX61" s="190"/>
      <c r="BY61" s="190"/>
      <c r="BZ61" s="190"/>
      <c r="CA61" s="190"/>
      <c r="CB61" s="190"/>
      <c r="CC61" s="190"/>
      <c r="CD61" s="190"/>
      <c r="CE61" s="190"/>
      <c r="CF61" s="190"/>
      <c r="CG61" s="190"/>
      <c r="CH61" s="190"/>
      <c r="CI61" s="190"/>
      <c r="CJ61" s="190"/>
      <c r="CK61" s="190"/>
      <c r="CL61" s="190"/>
      <c r="CM61" s="190"/>
      <c r="CN61" s="190"/>
      <c r="CO61" s="190"/>
      <c r="CP61" s="190"/>
      <c r="CQ61" s="190"/>
      <c r="CR61" s="190"/>
      <c r="CS61" s="190"/>
      <c r="CT61" s="190"/>
      <c r="CU61" s="190"/>
      <c r="CV61" s="190"/>
      <c r="CW61" s="190"/>
      <c r="CX61" s="190"/>
      <c r="CY61" s="190"/>
      <c r="CZ61" s="190"/>
      <c r="DA61" s="190"/>
      <c r="DB61" s="190"/>
      <c r="DC61" s="190"/>
      <c r="DD61" s="30"/>
      <c r="DE61" s="104"/>
      <c r="DF61" s="29"/>
    </row>
    <row r="62" spans="1:110" ht="5.0999999999999996" customHeight="1" x14ac:dyDescent="0.25">
      <c r="A62" s="104"/>
      <c r="B62" s="30"/>
      <c r="C62" s="34"/>
      <c r="D62" s="34"/>
      <c r="E62" s="186"/>
      <c r="F62" s="186"/>
      <c r="G62" s="186"/>
      <c r="H62" s="186"/>
      <c r="I62" s="186"/>
      <c r="J62" s="186"/>
      <c r="K62" s="186"/>
      <c r="L62" s="186"/>
      <c r="M62" s="186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  <c r="AA62" s="186"/>
      <c r="AB62" s="186"/>
      <c r="AC62" s="186"/>
      <c r="AD62" s="186"/>
      <c r="AE62" s="186"/>
      <c r="AF62" s="186"/>
      <c r="AG62" s="186"/>
      <c r="AH62" s="186"/>
      <c r="AI62" s="186"/>
      <c r="AJ62" s="186"/>
      <c r="AK62" s="186"/>
      <c r="AL62" s="34"/>
      <c r="AM62" s="34"/>
      <c r="AN62" s="34"/>
      <c r="AO62" s="187"/>
      <c r="AP62" s="187"/>
      <c r="AQ62" s="187"/>
      <c r="AR62" s="187"/>
      <c r="AS62" s="187"/>
      <c r="AT62" s="187"/>
      <c r="AU62" s="187"/>
      <c r="AV62" s="187"/>
      <c r="AW62" s="187"/>
      <c r="AX62" s="187"/>
      <c r="AY62" s="30"/>
      <c r="AZ62" s="30"/>
      <c r="BA62" s="30"/>
      <c r="BB62" s="30"/>
      <c r="BC62" s="37"/>
      <c r="BD62" s="37"/>
      <c r="BE62" s="191"/>
      <c r="BF62" s="191"/>
      <c r="BG62" s="191"/>
      <c r="BH62" s="191"/>
      <c r="BI62" s="191"/>
      <c r="BJ62" s="191"/>
      <c r="BK62" s="191"/>
      <c r="BL62" s="191"/>
      <c r="BM62" s="191"/>
      <c r="BN62" s="191"/>
      <c r="BO62" s="191"/>
      <c r="BP62" s="191"/>
      <c r="BQ62" s="191"/>
      <c r="BR62" s="191"/>
      <c r="BS62" s="191"/>
      <c r="BT62" s="191"/>
      <c r="BU62" s="37"/>
      <c r="BV62" s="37"/>
      <c r="BW62" s="190"/>
      <c r="BX62" s="190"/>
      <c r="BY62" s="190"/>
      <c r="BZ62" s="190"/>
      <c r="CA62" s="190"/>
      <c r="CB62" s="190"/>
      <c r="CC62" s="190"/>
      <c r="CD62" s="190"/>
      <c r="CE62" s="190"/>
      <c r="CF62" s="190"/>
      <c r="CG62" s="190"/>
      <c r="CH62" s="190"/>
      <c r="CI62" s="190"/>
      <c r="CJ62" s="190"/>
      <c r="CK62" s="190"/>
      <c r="CL62" s="190"/>
      <c r="CM62" s="190"/>
      <c r="CN62" s="190"/>
      <c r="CO62" s="190"/>
      <c r="CP62" s="190"/>
      <c r="CQ62" s="190"/>
      <c r="CR62" s="190"/>
      <c r="CS62" s="190"/>
      <c r="CT62" s="190"/>
      <c r="CU62" s="190"/>
      <c r="CV62" s="190"/>
      <c r="CW62" s="190"/>
      <c r="CX62" s="190"/>
      <c r="CY62" s="190"/>
      <c r="CZ62" s="190"/>
      <c r="DA62" s="190"/>
      <c r="DB62" s="190"/>
      <c r="DC62" s="190"/>
      <c r="DD62" s="30"/>
      <c r="DE62" s="104"/>
      <c r="DF62" s="29"/>
    </row>
    <row r="63" spans="1:110" ht="5.0999999999999996" customHeight="1" x14ac:dyDescent="0.25">
      <c r="A63" s="104"/>
      <c r="B63" s="30"/>
      <c r="C63" s="34"/>
      <c r="D63" s="34"/>
      <c r="E63" s="186" t="str">
        <f>IF(LEN(TRIM('4 доп.сведения'!B19))=0," ",'4 доп.сведения'!B19)</f>
        <v xml:space="preserve"> </v>
      </c>
      <c r="F63" s="186"/>
      <c r="G63" s="186"/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  <c r="AA63" s="186"/>
      <c r="AB63" s="186"/>
      <c r="AC63" s="186"/>
      <c r="AD63" s="186"/>
      <c r="AE63" s="186"/>
      <c r="AF63" s="186"/>
      <c r="AG63" s="186"/>
      <c r="AH63" s="186"/>
      <c r="AI63" s="186"/>
      <c r="AJ63" s="186"/>
      <c r="AK63" s="186"/>
      <c r="AL63" s="34"/>
      <c r="AM63" s="34"/>
      <c r="AN63" s="34"/>
      <c r="AO63" s="187" t="str">
        <f>IF(LEN(TRIM('4 доп.сведения'!C19))=0," ",'4 доп.сведения'!C19)</f>
        <v xml:space="preserve"> </v>
      </c>
      <c r="AP63" s="187"/>
      <c r="AQ63" s="187"/>
      <c r="AR63" s="187"/>
      <c r="AS63" s="187"/>
      <c r="AT63" s="187"/>
      <c r="AU63" s="187"/>
      <c r="AV63" s="187"/>
      <c r="AW63" s="187"/>
      <c r="AX63" s="187"/>
      <c r="AY63" s="30"/>
      <c r="AZ63" s="30"/>
      <c r="BA63" s="30"/>
      <c r="BB63" s="30"/>
      <c r="BC63" s="37"/>
      <c r="BD63" s="37"/>
      <c r="BE63" s="191"/>
      <c r="BF63" s="191"/>
      <c r="BG63" s="191"/>
      <c r="BH63" s="191"/>
      <c r="BI63" s="191"/>
      <c r="BJ63" s="191"/>
      <c r="BK63" s="191"/>
      <c r="BL63" s="191"/>
      <c r="BM63" s="191"/>
      <c r="BN63" s="191"/>
      <c r="BO63" s="191"/>
      <c r="BP63" s="191"/>
      <c r="BQ63" s="191"/>
      <c r="BR63" s="191"/>
      <c r="BS63" s="191"/>
      <c r="BT63" s="191"/>
      <c r="BU63" s="37"/>
      <c r="BV63" s="37"/>
      <c r="BW63" s="190"/>
      <c r="BX63" s="190"/>
      <c r="BY63" s="190"/>
      <c r="BZ63" s="190"/>
      <c r="CA63" s="190"/>
      <c r="CB63" s="190"/>
      <c r="CC63" s="190"/>
      <c r="CD63" s="190"/>
      <c r="CE63" s="190"/>
      <c r="CF63" s="190"/>
      <c r="CG63" s="190"/>
      <c r="CH63" s="190"/>
      <c r="CI63" s="190"/>
      <c r="CJ63" s="190"/>
      <c r="CK63" s="190"/>
      <c r="CL63" s="190"/>
      <c r="CM63" s="190"/>
      <c r="CN63" s="190"/>
      <c r="CO63" s="190"/>
      <c r="CP63" s="190"/>
      <c r="CQ63" s="190"/>
      <c r="CR63" s="190"/>
      <c r="CS63" s="190"/>
      <c r="CT63" s="190"/>
      <c r="CU63" s="190"/>
      <c r="CV63" s="190"/>
      <c r="CW63" s="190"/>
      <c r="CX63" s="190"/>
      <c r="CY63" s="190"/>
      <c r="CZ63" s="190"/>
      <c r="DA63" s="190"/>
      <c r="DB63" s="190"/>
      <c r="DC63" s="190"/>
      <c r="DD63" s="30"/>
      <c r="DE63" s="104"/>
      <c r="DF63" s="29"/>
    </row>
    <row r="64" spans="1:110" ht="5.0999999999999996" customHeight="1" x14ac:dyDescent="0.25">
      <c r="A64" s="104"/>
      <c r="B64" s="30"/>
      <c r="C64" s="34"/>
      <c r="D64" s="34"/>
      <c r="E64" s="186"/>
      <c r="F64" s="186"/>
      <c r="G64" s="186"/>
      <c r="H64" s="186"/>
      <c r="I64" s="186"/>
      <c r="J64" s="186"/>
      <c r="K64" s="186"/>
      <c r="L64" s="186"/>
      <c r="M64" s="186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  <c r="AA64" s="186"/>
      <c r="AB64" s="186"/>
      <c r="AC64" s="186"/>
      <c r="AD64" s="186"/>
      <c r="AE64" s="186"/>
      <c r="AF64" s="186"/>
      <c r="AG64" s="186"/>
      <c r="AH64" s="186"/>
      <c r="AI64" s="186"/>
      <c r="AJ64" s="186"/>
      <c r="AK64" s="186"/>
      <c r="AL64" s="34"/>
      <c r="AM64" s="34"/>
      <c r="AN64" s="34"/>
      <c r="AO64" s="187"/>
      <c r="AP64" s="187"/>
      <c r="AQ64" s="187"/>
      <c r="AR64" s="187"/>
      <c r="AS64" s="187"/>
      <c r="AT64" s="187"/>
      <c r="AU64" s="187"/>
      <c r="AV64" s="187"/>
      <c r="AW64" s="187"/>
      <c r="AX64" s="187"/>
      <c r="AY64" s="30"/>
      <c r="AZ64" s="30"/>
      <c r="BA64" s="30"/>
      <c r="BB64" s="30"/>
      <c r="BC64" s="37"/>
      <c r="BD64" s="37"/>
      <c r="BE64" s="191"/>
      <c r="BF64" s="191"/>
      <c r="BG64" s="191"/>
      <c r="BH64" s="191"/>
      <c r="BI64" s="191"/>
      <c r="BJ64" s="191"/>
      <c r="BK64" s="191"/>
      <c r="BL64" s="191"/>
      <c r="BM64" s="191"/>
      <c r="BN64" s="191"/>
      <c r="BO64" s="191"/>
      <c r="BP64" s="191"/>
      <c r="BQ64" s="191"/>
      <c r="BR64" s="191"/>
      <c r="BS64" s="191"/>
      <c r="BT64" s="191"/>
      <c r="BU64" s="37"/>
      <c r="BV64" s="37"/>
      <c r="BW64" s="190"/>
      <c r="BX64" s="190"/>
      <c r="BY64" s="190"/>
      <c r="BZ64" s="190"/>
      <c r="CA64" s="190"/>
      <c r="CB64" s="190"/>
      <c r="CC64" s="190"/>
      <c r="CD64" s="190"/>
      <c r="CE64" s="190"/>
      <c r="CF64" s="190"/>
      <c r="CG64" s="190"/>
      <c r="CH64" s="190"/>
      <c r="CI64" s="190"/>
      <c r="CJ64" s="190"/>
      <c r="CK64" s="190"/>
      <c r="CL64" s="190"/>
      <c r="CM64" s="190"/>
      <c r="CN64" s="190"/>
      <c r="CO64" s="190"/>
      <c r="CP64" s="190"/>
      <c r="CQ64" s="190"/>
      <c r="CR64" s="190"/>
      <c r="CS64" s="190"/>
      <c r="CT64" s="190"/>
      <c r="CU64" s="190"/>
      <c r="CV64" s="190"/>
      <c r="CW64" s="190"/>
      <c r="CX64" s="190"/>
      <c r="CY64" s="190"/>
      <c r="CZ64" s="190"/>
      <c r="DA64" s="190"/>
      <c r="DB64" s="190"/>
      <c r="DC64" s="190"/>
      <c r="DD64" s="30"/>
      <c r="DE64" s="104"/>
      <c r="DF64" s="29"/>
    </row>
    <row r="65" spans="1:110" ht="5.0999999999999996" customHeight="1" x14ac:dyDescent="0.25">
      <c r="A65" s="104"/>
      <c r="B65" s="30"/>
      <c r="C65" s="34"/>
      <c r="D65" s="34"/>
      <c r="E65" s="186" t="str">
        <f>IF(LEN(TRIM('4 доп.сведения'!B20))=0," ",'4 доп.сведения'!B20)</f>
        <v xml:space="preserve"> </v>
      </c>
      <c r="F65" s="186"/>
      <c r="G65" s="186"/>
      <c r="H65" s="186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  <c r="AA65" s="186"/>
      <c r="AB65" s="186"/>
      <c r="AC65" s="186"/>
      <c r="AD65" s="186"/>
      <c r="AE65" s="186"/>
      <c r="AF65" s="186"/>
      <c r="AG65" s="186"/>
      <c r="AH65" s="186"/>
      <c r="AI65" s="186"/>
      <c r="AJ65" s="186"/>
      <c r="AK65" s="186"/>
      <c r="AL65" s="34"/>
      <c r="AM65" s="34"/>
      <c r="AN65" s="34"/>
      <c r="AO65" s="187" t="str">
        <f>IF(LEN(TRIM('4 доп.сведения'!C20))=0," ",'4 доп.сведения'!C20)</f>
        <v xml:space="preserve"> </v>
      </c>
      <c r="AP65" s="187"/>
      <c r="AQ65" s="187"/>
      <c r="AR65" s="187"/>
      <c r="AS65" s="187"/>
      <c r="AT65" s="187"/>
      <c r="AU65" s="187"/>
      <c r="AV65" s="187"/>
      <c r="AW65" s="187"/>
      <c r="AX65" s="187"/>
      <c r="AY65" s="30"/>
      <c r="AZ65" s="30"/>
      <c r="BA65" s="30"/>
      <c r="BB65" s="30"/>
      <c r="BC65" s="37"/>
      <c r="BD65" s="37"/>
      <c r="BE65" s="191"/>
      <c r="BF65" s="191"/>
      <c r="BG65" s="191"/>
      <c r="BH65" s="191"/>
      <c r="BI65" s="191"/>
      <c r="BJ65" s="191"/>
      <c r="BK65" s="191"/>
      <c r="BL65" s="191"/>
      <c r="BM65" s="191"/>
      <c r="BN65" s="191"/>
      <c r="BO65" s="191"/>
      <c r="BP65" s="191"/>
      <c r="BQ65" s="191"/>
      <c r="BR65" s="191"/>
      <c r="BS65" s="191"/>
      <c r="BT65" s="191"/>
      <c r="BU65" s="37"/>
      <c r="BV65" s="37"/>
      <c r="BW65" s="190"/>
      <c r="BX65" s="190"/>
      <c r="BY65" s="190"/>
      <c r="BZ65" s="190"/>
      <c r="CA65" s="190"/>
      <c r="CB65" s="190"/>
      <c r="CC65" s="190"/>
      <c r="CD65" s="190"/>
      <c r="CE65" s="190"/>
      <c r="CF65" s="190"/>
      <c r="CG65" s="190"/>
      <c r="CH65" s="190"/>
      <c r="CI65" s="190"/>
      <c r="CJ65" s="190"/>
      <c r="CK65" s="190"/>
      <c r="CL65" s="190"/>
      <c r="CM65" s="190"/>
      <c r="CN65" s="190"/>
      <c r="CO65" s="190"/>
      <c r="CP65" s="190"/>
      <c r="CQ65" s="190"/>
      <c r="CR65" s="190"/>
      <c r="CS65" s="190"/>
      <c r="CT65" s="190"/>
      <c r="CU65" s="190"/>
      <c r="CV65" s="190"/>
      <c r="CW65" s="190"/>
      <c r="CX65" s="190"/>
      <c r="CY65" s="190"/>
      <c r="CZ65" s="190"/>
      <c r="DA65" s="190"/>
      <c r="DB65" s="190"/>
      <c r="DC65" s="190"/>
      <c r="DD65" s="30"/>
      <c r="DE65" s="104"/>
      <c r="DF65" s="29"/>
    </row>
    <row r="66" spans="1:110" ht="5.0999999999999996" customHeight="1" x14ac:dyDescent="0.25">
      <c r="A66" s="104"/>
      <c r="B66" s="30"/>
      <c r="C66" s="34"/>
      <c r="D66" s="34"/>
      <c r="E66" s="186"/>
      <c r="F66" s="186"/>
      <c r="G66" s="186"/>
      <c r="H66" s="186"/>
      <c r="I66" s="186"/>
      <c r="J66" s="186"/>
      <c r="K66" s="186"/>
      <c r="L66" s="186"/>
      <c r="M66" s="186"/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  <c r="AA66" s="186"/>
      <c r="AB66" s="186"/>
      <c r="AC66" s="186"/>
      <c r="AD66" s="186"/>
      <c r="AE66" s="186"/>
      <c r="AF66" s="186"/>
      <c r="AG66" s="186"/>
      <c r="AH66" s="186"/>
      <c r="AI66" s="186"/>
      <c r="AJ66" s="186"/>
      <c r="AK66" s="186"/>
      <c r="AL66" s="34"/>
      <c r="AM66" s="34"/>
      <c r="AN66" s="34"/>
      <c r="AO66" s="187"/>
      <c r="AP66" s="187"/>
      <c r="AQ66" s="187"/>
      <c r="AR66" s="187"/>
      <c r="AS66" s="187"/>
      <c r="AT66" s="187"/>
      <c r="AU66" s="187"/>
      <c r="AV66" s="187"/>
      <c r="AW66" s="187"/>
      <c r="AX66" s="187"/>
      <c r="AY66" s="30"/>
      <c r="AZ66" s="30"/>
      <c r="BA66" s="30"/>
      <c r="BB66" s="30"/>
      <c r="BC66" s="37"/>
      <c r="BD66" s="37"/>
      <c r="BE66" s="191"/>
      <c r="BF66" s="191"/>
      <c r="BG66" s="191"/>
      <c r="BH66" s="191"/>
      <c r="BI66" s="191"/>
      <c r="BJ66" s="191"/>
      <c r="BK66" s="191"/>
      <c r="BL66" s="191"/>
      <c r="BM66" s="191"/>
      <c r="BN66" s="191"/>
      <c r="BO66" s="191"/>
      <c r="BP66" s="191"/>
      <c r="BQ66" s="191"/>
      <c r="BR66" s="191"/>
      <c r="BS66" s="191"/>
      <c r="BT66" s="191"/>
      <c r="BU66" s="37"/>
      <c r="BV66" s="37"/>
      <c r="BW66" s="190"/>
      <c r="BX66" s="190"/>
      <c r="BY66" s="190"/>
      <c r="BZ66" s="190"/>
      <c r="CA66" s="190"/>
      <c r="CB66" s="190"/>
      <c r="CC66" s="190"/>
      <c r="CD66" s="190"/>
      <c r="CE66" s="190"/>
      <c r="CF66" s="190"/>
      <c r="CG66" s="190"/>
      <c r="CH66" s="190"/>
      <c r="CI66" s="190"/>
      <c r="CJ66" s="190"/>
      <c r="CK66" s="190"/>
      <c r="CL66" s="190"/>
      <c r="CM66" s="190"/>
      <c r="CN66" s="190"/>
      <c r="CO66" s="190"/>
      <c r="CP66" s="190"/>
      <c r="CQ66" s="190"/>
      <c r="CR66" s="190"/>
      <c r="CS66" s="190"/>
      <c r="CT66" s="190"/>
      <c r="CU66" s="190"/>
      <c r="CV66" s="190"/>
      <c r="CW66" s="190"/>
      <c r="CX66" s="190"/>
      <c r="CY66" s="190"/>
      <c r="CZ66" s="190"/>
      <c r="DA66" s="190"/>
      <c r="DB66" s="190"/>
      <c r="DC66" s="190"/>
      <c r="DD66" s="30"/>
      <c r="DE66" s="104"/>
      <c r="DF66" s="29"/>
    </row>
    <row r="67" spans="1:110" ht="5.0999999999999996" customHeight="1" x14ac:dyDescent="0.25">
      <c r="A67" s="104"/>
      <c r="B67" s="30"/>
      <c r="C67" s="34"/>
      <c r="D67" s="34"/>
      <c r="E67" s="186" t="str">
        <f>IF(LEN(TRIM('4 доп.сведения'!B21))=0," ",'4 доп.сведения'!B21)</f>
        <v xml:space="preserve"> </v>
      </c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  <c r="AA67" s="186"/>
      <c r="AB67" s="186"/>
      <c r="AC67" s="186"/>
      <c r="AD67" s="186"/>
      <c r="AE67" s="186"/>
      <c r="AF67" s="186"/>
      <c r="AG67" s="186"/>
      <c r="AH67" s="186"/>
      <c r="AI67" s="186"/>
      <c r="AJ67" s="186"/>
      <c r="AK67" s="186"/>
      <c r="AL67" s="34"/>
      <c r="AM67" s="34"/>
      <c r="AN67" s="34"/>
      <c r="AO67" s="187" t="str">
        <f>IF(LEN(TRIM('4 доп.сведения'!C21))=0," ",'4 доп.сведения'!C21)</f>
        <v xml:space="preserve"> </v>
      </c>
      <c r="AP67" s="187"/>
      <c r="AQ67" s="187"/>
      <c r="AR67" s="187"/>
      <c r="AS67" s="187"/>
      <c r="AT67" s="187"/>
      <c r="AU67" s="187"/>
      <c r="AV67" s="187"/>
      <c r="AW67" s="187"/>
      <c r="AX67" s="187"/>
      <c r="AY67" s="30"/>
      <c r="AZ67" s="30"/>
      <c r="BA67" s="30"/>
      <c r="BB67" s="30"/>
      <c r="BC67" s="37"/>
      <c r="BD67" s="37"/>
      <c r="BE67" s="191"/>
      <c r="BF67" s="191"/>
      <c r="BG67" s="191"/>
      <c r="BH67" s="191"/>
      <c r="BI67" s="191"/>
      <c r="BJ67" s="191"/>
      <c r="BK67" s="191"/>
      <c r="BL67" s="191"/>
      <c r="BM67" s="191"/>
      <c r="BN67" s="191"/>
      <c r="BO67" s="191"/>
      <c r="BP67" s="191"/>
      <c r="BQ67" s="191"/>
      <c r="BR67" s="191"/>
      <c r="BS67" s="191"/>
      <c r="BT67" s="191"/>
      <c r="BU67" s="37"/>
      <c r="BV67" s="37"/>
      <c r="BW67" s="190"/>
      <c r="BX67" s="190"/>
      <c r="BY67" s="190"/>
      <c r="BZ67" s="190"/>
      <c r="CA67" s="190"/>
      <c r="CB67" s="190"/>
      <c r="CC67" s="190"/>
      <c r="CD67" s="190"/>
      <c r="CE67" s="190"/>
      <c r="CF67" s="190"/>
      <c r="CG67" s="190"/>
      <c r="CH67" s="190"/>
      <c r="CI67" s="190"/>
      <c r="CJ67" s="190"/>
      <c r="CK67" s="190"/>
      <c r="CL67" s="190"/>
      <c r="CM67" s="190"/>
      <c r="CN67" s="190"/>
      <c r="CO67" s="190"/>
      <c r="CP67" s="190"/>
      <c r="CQ67" s="190"/>
      <c r="CR67" s="190"/>
      <c r="CS67" s="190"/>
      <c r="CT67" s="190"/>
      <c r="CU67" s="190"/>
      <c r="CV67" s="190"/>
      <c r="CW67" s="190"/>
      <c r="CX67" s="190"/>
      <c r="CY67" s="190"/>
      <c r="CZ67" s="190"/>
      <c r="DA67" s="190"/>
      <c r="DB67" s="190"/>
      <c r="DC67" s="190"/>
      <c r="DD67" s="30"/>
      <c r="DE67" s="104"/>
      <c r="DF67" s="29"/>
    </row>
    <row r="68" spans="1:110" ht="5.0999999999999996" customHeight="1" x14ac:dyDescent="0.25">
      <c r="A68" s="104"/>
      <c r="B68" s="30"/>
      <c r="C68" s="34"/>
      <c r="D68" s="34"/>
      <c r="E68" s="186"/>
      <c r="F68" s="186"/>
      <c r="G68" s="186"/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  <c r="AA68" s="186"/>
      <c r="AB68" s="186"/>
      <c r="AC68" s="186"/>
      <c r="AD68" s="186"/>
      <c r="AE68" s="186"/>
      <c r="AF68" s="186"/>
      <c r="AG68" s="186"/>
      <c r="AH68" s="186"/>
      <c r="AI68" s="186"/>
      <c r="AJ68" s="186"/>
      <c r="AK68" s="186"/>
      <c r="AL68" s="34"/>
      <c r="AM68" s="34"/>
      <c r="AN68" s="34"/>
      <c r="AO68" s="187"/>
      <c r="AP68" s="187"/>
      <c r="AQ68" s="187"/>
      <c r="AR68" s="187"/>
      <c r="AS68" s="187"/>
      <c r="AT68" s="187"/>
      <c r="AU68" s="187"/>
      <c r="AV68" s="187"/>
      <c r="AW68" s="187"/>
      <c r="AX68" s="187"/>
      <c r="AY68" s="30"/>
      <c r="AZ68" s="30"/>
      <c r="BA68" s="30"/>
      <c r="BB68" s="30"/>
      <c r="BC68" s="37"/>
      <c r="BD68" s="37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37"/>
      <c r="BV68" s="37"/>
      <c r="BW68" s="190"/>
      <c r="BX68" s="190"/>
      <c r="BY68" s="190"/>
      <c r="BZ68" s="190"/>
      <c r="CA68" s="190"/>
      <c r="CB68" s="190"/>
      <c r="CC68" s="190"/>
      <c r="CD68" s="190"/>
      <c r="CE68" s="190"/>
      <c r="CF68" s="190"/>
      <c r="CG68" s="190"/>
      <c r="CH68" s="190"/>
      <c r="CI68" s="190"/>
      <c r="CJ68" s="190"/>
      <c r="CK68" s="190"/>
      <c r="CL68" s="190"/>
      <c r="CM68" s="190"/>
      <c r="CN68" s="190"/>
      <c r="CO68" s="190"/>
      <c r="CP68" s="190"/>
      <c r="CQ68" s="190"/>
      <c r="CR68" s="190"/>
      <c r="CS68" s="190"/>
      <c r="CT68" s="190"/>
      <c r="CU68" s="190"/>
      <c r="CV68" s="190"/>
      <c r="CW68" s="190"/>
      <c r="CX68" s="190"/>
      <c r="CY68" s="190"/>
      <c r="CZ68" s="190"/>
      <c r="DA68" s="190"/>
      <c r="DB68" s="190"/>
      <c r="DC68" s="190"/>
      <c r="DD68" s="30"/>
      <c r="DE68" s="104"/>
      <c r="DF68" s="29"/>
    </row>
    <row r="69" spans="1:110" ht="5.0999999999999996" customHeight="1" x14ac:dyDescent="0.25">
      <c r="A69" s="104"/>
      <c r="B69" s="30"/>
      <c r="C69" s="34"/>
      <c r="D69" s="34"/>
      <c r="E69" s="186" t="str">
        <f>IF(LEN(TRIM('4 доп.сведения'!B22))=0," ",'4 доп.сведения'!B22)</f>
        <v xml:space="preserve"> </v>
      </c>
      <c r="F69" s="186"/>
      <c r="G69" s="186"/>
      <c r="H69" s="186"/>
      <c r="I69" s="186"/>
      <c r="J69" s="186"/>
      <c r="K69" s="186"/>
      <c r="L69" s="186"/>
      <c r="M69" s="186"/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  <c r="AA69" s="186"/>
      <c r="AB69" s="186"/>
      <c r="AC69" s="186"/>
      <c r="AD69" s="186"/>
      <c r="AE69" s="186"/>
      <c r="AF69" s="186"/>
      <c r="AG69" s="186"/>
      <c r="AH69" s="186"/>
      <c r="AI69" s="186"/>
      <c r="AJ69" s="186"/>
      <c r="AK69" s="186"/>
      <c r="AL69" s="34"/>
      <c r="AM69" s="34"/>
      <c r="AN69" s="34"/>
      <c r="AO69" s="187" t="str">
        <f>IF(LEN(TRIM('4 доп.сведения'!C22))=0," ",'4 доп.сведения'!C22)</f>
        <v xml:space="preserve"> </v>
      </c>
      <c r="AP69" s="187"/>
      <c r="AQ69" s="187"/>
      <c r="AR69" s="187"/>
      <c r="AS69" s="187"/>
      <c r="AT69" s="187"/>
      <c r="AU69" s="187"/>
      <c r="AV69" s="187"/>
      <c r="AW69" s="187"/>
      <c r="AX69" s="187"/>
      <c r="AY69" s="30"/>
      <c r="AZ69" s="30"/>
      <c r="BA69" s="30"/>
      <c r="BB69" s="30"/>
      <c r="BC69" s="37"/>
      <c r="BD69" s="37"/>
      <c r="BE69" s="191"/>
      <c r="BF69" s="191"/>
      <c r="BG69" s="191"/>
      <c r="BH69" s="191"/>
      <c r="BI69" s="191"/>
      <c r="BJ69" s="191"/>
      <c r="BK69" s="191"/>
      <c r="BL69" s="191"/>
      <c r="BM69" s="191"/>
      <c r="BN69" s="191"/>
      <c r="BO69" s="191"/>
      <c r="BP69" s="191"/>
      <c r="BQ69" s="191"/>
      <c r="BR69" s="191"/>
      <c r="BS69" s="191"/>
      <c r="BT69" s="191"/>
      <c r="BU69" s="37"/>
      <c r="BV69" s="37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30"/>
      <c r="DE69" s="104"/>
      <c r="DF69" s="29"/>
    </row>
    <row r="70" spans="1:110" ht="5.0999999999999996" customHeight="1" x14ac:dyDescent="0.25">
      <c r="A70" s="104"/>
      <c r="B70" s="30"/>
      <c r="C70" s="34"/>
      <c r="D70" s="34"/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  <c r="AA70" s="186"/>
      <c r="AB70" s="186"/>
      <c r="AC70" s="186"/>
      <c r="AD70" s="186"/>
      <c r="AE70" s="186"/>
      <c r="AF70" s="186"/>
      <c r="AG70" s="186"/>
      <c r="AH70" s="186"/>
      <c r="AI70" s="186"/>
      <c r="AJ70" s="186"/>
      <c r="AK70" s="186"/>
      <c r="AL70" s="34"/>
      <c r="AM70" s="34"/>
      <c r="AN70" s="34"/>
      <c r="AO70" s="187"/>
      <c r="AP70" s="187"/>
      <c r="AQ70" s="187"/>
      <c r="AR70" s="187"/>
      <c r="AS70" s="187"/>
      <c r="AT70" s="187"/>
      <c r="AU70" s="187"/>
      <c r="AV70" s="187"/>
      <c r="AW70" s="187"/>
      <c r="AX70" s="187"/>
      <c r="AY70" s="30"/>
      <c r="AZ70" s="30"/>
      <c r="BA70" s="30"/>
      <c r="BB70" s="30"/>
      <c r="BC70" s="37"/>
      <c r="BD70" s="37"/>
      <c r="BE70" s="191"/>
      <c r="BF70" s="191"/>
      <c r="BG70" s="191"/>
      <c r="BH70" s="191"/>
      <c r="BI70" s="191"/>
      <c r="BJ70" s="191"/>
      <c r="BK70" s="191"/>
      <c r="BL70" s="191"/>
      <c r="BM70" s="191"/>
      <c r="BN70" s="191"/>
      <c r="BO70" s="191"/>
      <c r="BP70" s="191"/>
      <c r="BQ70" s="191"/>
      <c r="BR70" s="191"/>
      <c r="BS70" s="191"/>
      <c r="BT70" s="191"/>
      <c r="BU70" s="37"/>
      <c r="BV70" s="37"/>
      <c r="BW70" s="190"/>
      <c r="BX70" s="190"/>
      <c r="BY70" s="190"/>
      <c r="BZ70" s="190"/>
      <c r="CA70" s="190"/>
      <c r="CB70" s="190"/>
      <c r="CC70" s="190"/>
      <c r="CD70" s="190"/>
      <c r="CE70" s="190"/>
      <c r="CF70" s="190"/>
      <c r="CG70" s="190"/>
      <c r="CH70" s="190"/>
      <c r="CI70" s="190"/>
      <c r="CJ70" s="190"/>
      <c r="CK70" s="190"/>
      <c r="CL70" s="190"/>
      <c r="CM70" s="190"/>
      <c r="CN70" s="190"/>
      <c r="CO70" s="190"/>
      <c r="CP70" s="190"/>
      <c r="CQ70" s="190"/>
      <c r="CR70" s="190"/>
      <c r="CS70" s="190"/>
      <c r="CT70" s="190"/>
      <c r="CU70" s="190"/>
      <c r="CV70" s="190"/>
      <c r="CW70" s="190"/>
      <c r="CX70" s="190"/>
      <c r="CY70" s="190"/>
      <c r="CZ70" s="190"/>
      <c r="DA70" s="190"/>
      <c r="DB70" s="190"/>
      <c r="DC70" s="190"/>
      <c r="DD70" s="30"/>
      <c r="DE70" s="104"/>
      <c r="DF70" s="29"/>
    </row>
    <row r="71" spans="1:110" ht="5.0999999999999996" customHeight="1" x14ac:dyDescent="0.25">
      <c r="A71" s="104"/>
      <c r="B71" s="30"/>
      <c r="C71" s="34"/>
      <c r="D71" s="34"/>
      <c r="E71" s="186" t="str">
        <f>IF(LEN(TRIM('4 доп.сведения'!B23))=0," ",'4 доп.сведения'!B23)</f>
        <v xml:space="preserve"> </v>
      </c>
      <c r="F71" s="186"/>
      <c r="G71" s="186"/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  <c r="AA71" s="186"/>
      <c r="AB71" s="186"/>
      <c r="AC71" s="186"/>
      <c r="AD71" s="186"/>
      <c r="AE71" s="186"/>
      <c r="AF71" s="186"/>
      <c r="AG71" s="186"/>
      <c r="AH71" s="186"/>
      <c r="AI71" s="186"/>
      <c r="AJ71" s="186"/>
      <c r="AK71" s="186"/>
      <c r="AL71" s="34"/>
      <c r="AM71" s="34"/>
      <c r="AN71" s="34"/>
      <c r="AO71" s="187" t="str">
        <f>IF(LEN(TRIM('4 доп.сведения'!C23))=0," ",'4 доп.сведения'!C23)</f>
        <v xml:space="preserve"> </v>
      </c>
      <c r="AP71" s="187"/>
      <c r="AQ71" s="187"/>
      <c r="AR71" s="187"/>
      <c r="AS71" s="187"/>
      <c r="AT71" s="187"/>
      <c r="AU71" s="187"/>
      <c r="AV71" s="187"/>
      <c r="AW71" s="187"/>
      <c r="AX71" s="187"/>
      <c r="AY71" s="30"/>
      <c r="AZ71" s="30"/>
      <c r="BA71" s="30"/>
      <c r="BB71" s="30"/>
      <c r="BC71" s="37"/>
      <c r="BD71" s="37"/>
      <c r="BE71" s="191"/>
      <c r="BF71" s="191"/>
      <c r="BG71" s="191"/>
      <c r="BH71" s="191"/>
      <c r="BI71" s="191"/>
      <c r="BJ71" s="191"/>
      <c r="BK71" s="191"/>
      <c r="BL71" s="191"/>
      <c r="BM71" s="191"/>
      <c r="BN71" s="191"/>
      <c r="BO71" s="191"/>
      <c r="BP71" s="191"/>
      <c r="BQ71" s="191"/>
      <c r="BR71" s="191"/>
      <c r="BS71" s="191"/>
      <c r="BT71" s="191"/>
      <c r="BU71" s="37"/>
      <c r="BV71" s="37"/>
      <c r="BW71" s="190"/>
      <c r="BX71" s="190"/>
      <c r="BY71" s="190"/>
      <c r="BZ71" s="190"/>
      <c r="CA71" s="190"/>
      <c r="CB71" s="190"/>
      <c r="CC71" s="190"/>
      <c r="CD71" s="190"/>
      <c r="CE71" s="190"/>
      <c r="CF71" s="190"/>
      <c r="CG71" s="190"/>
      <c r="CH71" s="190"/>
      <c r="CI71" s="190"/>
      <c r="CJ71" s="190"/>
      <c r="CK71" s="190"/>
      <c r="CL71" s="190"/>
      <c r="CM71" s="190"/>
      <c r="CN71" s="190"/>
      <c r="CO71" s="190"/>
      <c r="CP71" s="190"/>
      <c r="CQ71" s="190"/>
      <c r="CR71" s="190"/>
      <c r="CS71" s="190"/>
      <c r="CT71" s="190"/>
      <c r="CU71" s="190"/>
      <c r="CV71" s="190"/>
      <c r="CW71" s="190"/>
      <c r="CX71" s="190"/>
      <c r="CY71" s="190"/>
      <c r="CZ71" s="190"/>
      <c r="DA71" s="190"/>
      <c r="DB71" s="190"/>
      <c r="DC71" s="190"/>
      <c r="DD71" s="30"/>
      <c r="DE71" s="104"/>
      <c r="DF71" s="29"/>
    </row>
    <row r="72" spans="1:110" ht="5.0999999999999996" customHeight="1" x14ac:dyDescent="0.25">
      <c r="A72" s="104"/>
      <c r="B72" s="30"/>
      <c r="C72" s="34"/>
      <c r="D72" s="34"/>
      <c r="E72" s="186"/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  <c r="AA72" s="186"/>
      <c r="AB72" s="186"/>
      <c r="AC72" s="186"/>
      <c r="AD72" s="186"/>
      <c r="AE72" s="186"/>
      <c r="AF72" s="186"/>
      <c r="AG72" s="186"/>
      <c r="AH72" s="186"/>
      <c r="AI72" s="186"/>
      <c r="AJ72" s="186"/>
      <c r="AK72" s="186"/>
      <c r="AL72" s="34"/>
      <c r="AM72" s="34"/>
      <c r="AN72" s="34"/>
      <c r="AO72" s="187"/>
      <c r="AP72" s="187"/>
      <c r="AQ72" s="187"/>
      <c r="AR72" s="187"/>
      <c r="AS72" s="187"/>
      <c r="AT72" s="187"/>
      <c r="AU72" s="187"/>
      <c r="AV72" s="187"/>
      <c r="AW72" s="187"/>
      <c r="AX72" s="187"/>
      <c r="AY72" s="30"/>
      <c r="AZ72" s="30"/>
      <c r="BA72" s="30"/>
      <c r="BB72" s="30"/>
      <c r="BC72" s="37"/>
      <c r="BD72" s="37"/>
      <c r="BE72" s="191"/>
      <c r="BF72" s="191"/>
      <c r="BG72" s="191"/>
      <c r="BH72" s="191"/>
      <c r="BI72" s="191"/>
      <c r="BJ72" s="191"/>
      <c r="BK72" s="191"/>
      <c r="BL72" s="191"/>
      <c r="BM72" s="191"/>
      <c r="BN72" s="191"/>
      <c r="BO72" s="191"/>
      <c r="BP72" s="191"/>
      <c r="BQ72" s="191"/>
      <c r="BR72" s="191"/>
      <c r="BS72" s="191"/>
      <c r="BT72" s="191"/>
      <c r="BU72" s="37"/>
      <c r="BV72" s="37"/>
      <c r="BW72" s="190"/>
      <c r="BX72" s="190"/>
      <c r="BY72" s="190"/>
      <c r="BZ72" s="190"/>
      <c r="CA72" s="190"/>
      <c r="CB72" s="190"/>
      <c r="CC72" s="190"/>
      <c r="CD72" s="190"/>
      <c r="CE72" s="190"/>
      <c r="CF72" s="190"/>
      <c r="CG72" s="190"/>
      <c r="CH72" s="190"/>
      <c r="CI72" s="190"/>
      <c r="CJ72" s="190"/>
      <c r="CK72" s="190"/>
      <c r="CL72" s="190"/>
      <c r="CM72" s="190"/>
      <c r="CN72" s="190"/>
      <c r="CO72" s="190"/>
      <c r="CP72" s="190"/>
      <c r="CQ72" s="190"/>
      <c r="CR72" s="190"/>
      <c r="CS72" s="190"/>
      <c r="CT72" s="190"/>
      <c r="CU72" s="190"/>
      <c r="CV72" s="190"/>
      <c r="CW72" s="190"/>
      <c r="CX72" s="190"/>
      <c r="CY72" s="190"/>
      <c r="CZ72" s="190"/>
      <c r="DA72" s="190"/>
      <c r="DB72" s="190"/>
      <c r="DC72" s="190"/>
      <c r="DD72" s="30"/>
      <c r="DE72" s="104"/>
      <c r="DF72" s="29"/>
    </row>
    <row r="73" spans="1:110" ht="5.0999999999999996" customHeight="1" x14ac:dyDescent="0.25">
      <c r="A73" s="104"/>
      <c r="B73" s="30"/>
      <c r="C73" s="34"/>
      <c r="D73" s="34"/>
      <c r="E73" s="186" t="str">
        <f>IF(LEN(TRIM('4 доп.сведения'!B24))=0," ",'4 доп.сведения'!B24)</f>
        <v xml:space="preserve"> </v>
      </c>
      <c r="F73" s="186"/>
      <c r="G73" s="186"/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  <c r="AA73" s="186"/>
      <c r="AB73" s="186"/>
      <c r="AC73" s="186"/>
      <c r="AD73" s="186"/>
      <c r="AE73" s="186"/>
      <c r="AF73" s="186"/>
      <c r="AG73" s="186"/>
      <c r="AH73" s="186"/>
      <c r="AI73" s="186"/>
      <c r="AJ73" s="186"/>
      <c r="AK73" s="186"/>
      <c r="AL73" s="34"/>
      <c r="AM73" s="34"/>
      <c r="AN73" s="34"/>
      <c r="AO73" s="187" t="str">
        <f>IF(LEN(TRIM('4 доп.сведения'!C24))=0," ",'4 доп.сведения'!C24)</f>
        <v xml:space="preserve"> </v>
      </c>
      <c r="AP73" s="187"/>
      <c r="AQ73" s="187"/>
      <c r="AR73" s="187"/>
      <c r="AS73" s="187"/>
      <c r="AT73" s="187"/>
      <c r="AU73" s="187"/>
      <c r="AV73" s="187"/>
      <c r="AW73" s="187"/>
      <c r="AX73" s="187"/>
      <c r="AY73" s="30"/>
      <c r="AZ73" s="30"/>
      <c r="BA73" s="30"/>
      <c r="BB73" s="30"/>
      <c r="BC73" s="37"/>
      <c r="BD73" s="37"/>
      <c r="BE73" s="191"/>
      <c r="BF73" s="191"/>
      <c r="BG73" s="191"/>
      <c r="BH73" s="191"/>
      <c r="BI73" s="191"/>
      <c r="BJ73" s="191"/>
      <c r="BK73" s="191"/>
      <c r="BL73" s="191"/>
      <c r="BM73" s="191"/>
      <c r="BN73" s="191"/>
      <c r="BO73" s="191"/>
      <c r="BP73" s="191"/>
      <c r="BQ73" s="191"/>
      <c r="BR73" s="191"/>
      <c r="BS73" s="191"/>
      <c r="BT73" s="191"/>
      <c r="BU73" s="38"/>
      <c r="BV73" s="38"/>
      <c r="BW73" s="190"/>
      <c r="BX73" s="190"/>
      <c r="BY73" s="190"/>
      <c r="BZ73" s="190"/>
      <c r="CA73" s="190"/>
      <c r="CB73" s="190"/>
      <c r="CC73" s="190"/>
      <c r="CD73" s="190"/>
      <c r="CE73" s="190"/>
      <c r="CF73" s="190"/>
      <c r="CG73" s="190"/>
      <c r="CH73" s="190"/>
      <c r="CI73" s="190"/>
      <c r="CJ73" s="190"/>
      <c r="CK73" s="190"/>
      <c r="CL73" s="190"/>
      <c r="CM73" s="190"/>
      <c r="CN73" s="190"/>
      <c r="CO73" s="190"/>
      <c r="CP73" s="190"/>
      <c r="CQ73" s="190"/>
      <c r="CR73" s="190"/>
      <c r="CS73" s="190"/>
      <c r="CT73" s="190"/>
      <c r="CU73" s="190"/>
      <c r="CV73" s="190"/>
      <c r="CW73" s="190"/>
      <c r="CX73" s="190"/>
      <c r="CY73" s="190"/>
      <c r="CZ73" s="190"/>
      <c r="DA73" s="190"/>
      <c r="DB73" s="190"/>
      <c r="DC73" s="190"/>
      <c r="DD73" s="30"/>
      <c r="DE73" s="104"/>
      <c r="DF73" s="29"/>
    </row>
    <row r="74" spans="1:110" ht="5.0999999999999996" customHeight="1" x14ac:dyDescent="0.25">
      <c r="A74" s="104"/>
      <c r="B74" s="30"/>
      <c r="C74" s="34"/>
      <c r="D74" s="34"/>
      <c r="E74" s="186"/>
      <c r="F74" s="186"/>
      <c r="G74" s="186"/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  <c r="AA74" s="186"/>
      <c r="AB74" s="186"/>
      <c r="AC74" s="186"/>
      <c r="AD74" s="186"/>
      <c r="AE74" s="186"/>
      <c r="AF74" s="186"/>
      <c r="AG74" s="186"/>
      <c r="AH74" s="186"/>
      <c r="AI74" s="186"/>
      <c r="AJ74" s="186"/>
      <c r="AK74" s="186"/>
      <c r="AL74" s="34"/>
      <c r="AM74" s="34"/>
      <c r="AN74" s="34"/>
      <c r="AO74" s="187"/>
      <c r="AP74" s="187"/>
      <c r="AQ74" s="187"/>
      <c r="AR74" s="187"/>
      <c r="AS74" s="187"/>
      <c r="AT74" s="187"/>
      <c r="AU74" s="187"/>
      <c r="AV74" s="187"/>
      <c r="AW74" s="187"/>
      <c r="AX74" s="187"/>
      <c r="AY74" s="30"/>
      <c r="AZ74" s="30"/>
      <c r="BA74" s="30"/>
      <c r="BB74" s="30"/>
      <c r="BC74" s="37"/>
      <c r="BD74" s="37"/>
      <c r="BE74" s="191"/>
      <c r="BF74" s="191"/>
      <c r="BG74" s="191"/>
      <c r="BH74" s="191"/>
      <c r="BI74" s="191"/>
      <c r="BJ74" s="191"/>
      <c r="BK74" s="191"/>
      <c r="BL74" s="191"/>
      <c r="BM74" s="191"/>
      <c r="BN74" s="191"/>
      <c r="BO74" s="191"/>
      <c r="BP74" s="191"/>
      <c r="BQ74" s="191"/>
      <c r="BR74" s="191"/>
      <c r="BS74" s="191"/>
      <c r="BT74" s="191"/>
      <c r="BU74" s="38"/>
      <c r="BV74" s="38"/>
      <c r="BW74" s="39"/>
      <c r="BX74" s="38"/>
      <c r="BY74" s="38"/>
      <c r="BZ74" s="38"/>
      <c r="CA74" s="38"/>
      <c r="CB74" s="38"/>
      <c r="CC74" s="38"/>
      <c r="CD74" s="38"/>
      <c r="CE74" s="38"/>
      <c r="CF74" s="38"/>
      <c r="CG74" s="38"/>
      <c r="CH74" s="38"/>
      <c r="CI74" s="38"/>
      <c r="CJ74" s="38"/>
      <c r="CK74" s="38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104"/>
      <c r="DF74" s="29"/>
    </row>
    <row r="75" spans="1:110" ht="5.0999999999999996" customHeight="1" x14ac:dyDescent="0.25">
      <c r="A75" s="104"/>
      <c r="B75" s="30"/>
      <c r="C75" s="34"/>
      <c r="D75" s="34"/>
      <c r="E75" s="186" t="str">
        <f>IF(LEN(TRIM('4 доп.сведения'!B25))=0," ",'4 доп.сведения'!B25)</f>
        <v xml:space="preserve"> </v>
      </c>
      <c r="F75" s="186"/>
      <c r="G75" s="186"/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  <c r="AA75" s="186"/>
      <c r="AB75" s="186"/>
      <c r="AC75" s="186"/>
      <c r="AD75" s="186"/>
      <c r="AE75" s="186"/>
      <c r="AF75" s="186"/>
      <c r="AG75" s="186"/>
      <c r="AH75" s="186"/>
      <c r="AI75" s="186"/>
      <c r="AJ75" s="186"/>
      <c r="AK75" s="186"/>
      <c r="AL75" s="34"/>
      <c r="AM75" s="34"/>
      <c r="AN75" s="34"/>
      <c r="AO75" s="187" t="str">
        <f>IF(LEN(TRIM('4 доп.сведения'!C25))=0," ",'4 доп.сведения'!C25)</f>
        <v xml:space="preserve"> </v>
      </c>
      <c r="AP75" s="187"/>
      <c r="AQ75" s="187"/>
      <c r="AR75" s="187"/>
      <c r="AS75" s="187"/>
      <c r="AT75" s="187"/>
      <c r="AU75" s="187"/>
      <c r="AV75" s="187"/>
      <c r="AW75" s="187"/>
      <c r="AX75" s="187"/>
      <c r="AY75" s="30"/>
      <c r="AZ75" s="30"/>
      <c r="BA75" s="30"/>
      <c r="BB75" s="30"/>
      <c r="BC75" s="37"/>
      <c r="BD75" s="37"/>
      <c r="BE75" s="191"/>
      <c r="BF75" s="191"/>
      <c r="BG75" s="191"/>
      <c r="BH75" s="191"/>
      <c r="BI75" s="191"/>
      <c r="BJ75" s="191"/>
      <c r="BK75" s="191"/>
      <c r="BL75" s="191"/>
      <c r="BM75" s="191"/>
      <c r="BN75" s="191"/>
      <c r="BO75" s="191"/>
      <c r="BP75" s="191"/>
      <c r="BQ75" s="191"/>
      <c r="BR75" s="191"/>
      <c r="BS75" s="191"/>
      <c r="BT75" s="191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104"/>
      <c r="DF75" s="29"/>
    </row>
    <row r="76" spans="1:110" ht="5.0999999999999996" customHeight="1" x14ac:dyDescent="0.25">
      <c r="A76" s="104"/>
      <c r="B76" s="30"/>
      <c r="C76" s="34"/>
      <c r="D76" s="34"/>
      <c r="E76" s="186"/>
      <c r="F76" s="186"/>
      <c r="G76" s="186"/>
      <c r="H76" s="186"/>
      <c r="I76" s="186"/>
      <c r="J76" s="186"/>
      <c r="K76" s="186"/>
      <c r="L76" s="186"/>
      <c r="M76" s="186"/>
      <c r="N76" s="186"/>
      <c r="O76" s="186"/>
      <c r="P76" s="186"/>
      <c r="Q76" s="186"/>
      <c r="R76" s="186"/>
      <c r="S76" s="186"/>
      <c r="T76" s="186"/>
      <c r="U76" s="186"/>
      <c r="V76" s="186"/>
      <c r="W76" s="186"/>
      <c r="X76" s="186"/>
      <c r="Y76" s="186"/>
      <c r="Z76" s="186"/>
      <c r="AA76" s="186"/>
      <c r="AB76" s="186"/>
      <c r="AC76" s="186"/>
      <c r="AD76" s="186"/>
      <c r="AE76" s="186"/>
      <c r="AF76" s="186"/>
      <c r="AG76" s="186"/>
      <c r="AH76" s="186"/>
      <c r="AI76" s="186"/>
      <c r="AJ76" s="186"/>
      <c r="AK76" s="186"/>
      <c r="AL76" s="34"/>
      <c r="AM76" s="34"/>
      <c r="AN76" s="34"/>
      <c r="AO76" s="187"/>
      <c r="AP76" s="187"/>
      <c r="AQ76" s="187"/>
      <c r="AR76" s="187"/>
      <c r="AS76" s="187"/>
      <c r="AT76" s="187"/>
      <c r="AU76" s="187"/>
      <c r="AV76" s="187"/>
      <c r="AW76" s="187"/>
      <c r="AX76" s="187"/>
      <c r="AY76" s="30"/>
      <c r="AZ76" s="30"/>
      <c r="BA76" s="30"/>
      <c r="BB76" s="30"/>
      <c r="BC76" s="37"/>
      <c r="BD76" s="37"/>
      <c r="BE76" s="191"/>
      <c r="BF76" s="191"/>
      <c r="BG76" s="191"/>
      <c r="BH76" s="191"/>
      <c r="BI76" s="191"/>
      <c r="BJ76" s="191"/>
      <c r="BK76" s="191"/>
      <c r="BL76" s="191"/>
      <c r="BM76" s="191"/>
      <c r="BN76" s="191"/>
      <c r="BO76" s="191"/>
      <c r="BP76" s="191"/>
      <c r="BQ76" s="191"/>
      <c r="BR76" s="191"/>
      <c r="BS76" s="191"/>
      <c r="BT76" s="191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104"/>
      <c r="DF76" s="29"/>
    </row>
    <row r="77" spans="1:110" ht="5.0999999999999996" customHeight="1" x14ac:dyDescent="0.25">
      <c r="A77" s="104"/>
      <c r="B77" s="30"/>
      <c r="C77" s="34"/>
      <c r="D77" s="34"/>
      <c r="E77" s="186" t="str">
        <f>IF(LEN(TRIM('4 доп.сведения'!B26))=0," ",'4 доп.сведения'!B26)</f>
        <v xml:space="preserve"> </v>
      </c>
      <c r="F77" s="186"/>
      <c r="G77" s="186"/>
      <c r="H77" s="186"/>
      <c r="I77" s="186"/>
      <c r="J77" s="186"/>
      <c r="K77" s="186"/>
      <c r="L77" s="186"/>
      <c r="M77" s="186"/>
      <c r="N77" s="186"/>
      <c r="O77" s="186"/>
      <c r="P77" s="186"/>
      <c r="Q77" s="186"/>
      <c r="R77" s="186"/>
      <c r="S77" s="186"/>
      <c r="T77" s="186"/>
      <c r="U77" s="186"/>
      <c r="V77" s="186"/>
      <c r="W77" s="186"/>
      <c r="X77" s="186"/>
      <c r="Y77" s="186"/>
      <c r="Z77" s="186"/>
      <c r="AA77" s="186"/>
      <c r="AB77" s="186"/>
      <c r="AC77" s="186"/>
      <c r="AD77" s="186"/>
      <c r="AE77" s="186"/>
      <c r="AF77" s="186"/>
      <c r="AG77" s="186"/>
      <c r="AH77" s="186"/>
      <c r="AI77" s="186"/>
      <c r="AJ77" s="186"/>
      <c r="AK77" s="186"/>
      <c r="AL77" s="34"/>
      <c r="AM77" s="34"/>
      <c r="AN77" s="34"/>
      <c r="AO77" s="187" t="str">
        <f>IF(LEN(TRIM('4 доп.сведения'!C26))=0," ",'4 доп.сведения'!C26)</f>
        <v xml:space="preserve"> </v>
      </c>
      <c r="AP77" s="187"/>
      <c r="AQ77" s="187"/>
      <c r="AR77" s="187"/>
      <c r="AS77" s="187"/>
      <c r="AT77" s="187"/>
      <c r="AU77" s="187"/>
      <c r="AV77" s="187"/>
      <c r="AW77" s="187"/>
      <c r="AX77" s="187"/>
      <c r="AY77" s="30"/>
      <c r="AZ77" s="30"/>
      <c r="BA77" s="30"/>
      <c r="BB77" s="30"/>
      <c r="BC77" s="37"/>
      <c r="BD77" s="37"/>
      <c r="BE77" s="191"/>
      <c r="BF77" s="191"/>
      <c r="BG77" s="191"/>
      <c r="BH77" s="191"/>
      <c r="BI77" s="191"/>
      <c r="BJ77" s="191"/>
      <c r="BK77" s="191"/>
      <c r="BL77" s="191"/>
      <c r="BM77" s="191"/>
      <c r="BN77" s="191"/>
      <c r="BO77" s="191"/>
      <c r="BP77" s="191"/>
      <c r="BQ77" s="191"/>
      <c r="BR77" s="191"/>
      <c r="BS77" s="191"/>
      <c r="BT77" s="191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104"/>
      <c r="DF77" s="29"/>
    </row>
    <row r="78" spans="1:110" ht="5.0999999999999996" customHeight="1" x14ac:dyDescent="0.25">
      <c r="A78" s="104"/>
      <c r="B78" s="30"/>
      <c r="C78" s="34"/>
      <c r="D78" s="34"/>
      <c r="E78" s="186"/>
      <c r="F78" s="186"/>
      <c r="G78" s="186"/>
      <c r="H78" s="186"/>
      <c r="I78" s="186"/>
      <c r="J78" s="186"/>
      <c r="K78" s="186"/>
      <c r="L78" s="186"/>
      <c r="M78" s="186"/>
      <c r="N78" s="186"/>
      <c r="O78" s="186"/>
      <c r="P78" s="186"/>
      <c r="Q78" s="186"/>
      <c r="R78" s="186"/>
      <c r="S78" s="186"/>
      <c r="T78" s="186"/>
      <c r="U78" s="186"/>
      <c r="V78" s="186"/>
      <c r="W78" s="186"/>
      <c r="X78" s="186"/>
      <c r="Y78" s="186"/>
      <c r="Z78" s="186"/>
      <c r="AA78" s="186"/>
      <c r="AB78" s="186"/>
      <c r="AC78" s="186"/>
      <c r="AD78" s="186"/>
      <c r="AE78" s="186"/>
      <c r="AF78" s="186"/>
      <c r="AG78" s="186"/>
      <c r="AH78" s="186"/>
      <c r="AI78" s="186"/>
      <c r="AJ78" s="186"/>
      <c r="AK78" s="186"/>
      <c r="AL78" s="34"/>
      <c r="AM78" s="34"/>
      <c r="AN78" s="34"/>
      <c r="AO78" s="187"/>
      <c r="AP78" s="187"/>
      <c r="AQ78" s="187"/>
      <c r="AR78" s="187"/>
      <c r="AS78" s="187"/>
      <c r="AT78" s="187"/>
      <c r="AU78" s="187"/>
      <c r="AV78" s="187"/>
      <c r="AW78" s="187"/>
      <c r="AX78" s="187"/>
      <c r="AY78" s="30"/>
      <c r="AZ78" s="30"/>
      <c r="BA78" s="30"/>
      <c r="BB78" s="30"/>
      <c r="BC78" s="37"/>
      <c r="BD78" s="37"/>
      <c r="BE78" s="191"/>
      <c r="BF78" s="191"/>
      <c r="BG78" s="191"/>
      <c r="BH78" s="191"/>
      <c r="BI78" s="191"/>
      <c r="BJ78" s="191"/>
      <c r="BK78" s="191"/>
      <c r="BL78" s="191"/>
      <c r="BM78" s="191"/>
      <c r="BN78" s="191"/>
      <c r="BO78" s="191"/>
      <c r="BP78" s="191"/>
      <c r="BQ78" s="191"/>
      <c r="BR78" s="191"/>
      <c r="BS78" s="191"/>
      <c r="BT78" s="191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104"/>
      <c r="DF78" s="29"/>
    </row>
    <row r="79" spans="1:110" ht="5.0999999999999996" customHeight="1" x14ac:dyDescent="0.25">
      <c r="A79" s="104"/>
      <c r="B79" s="30"/>
      <c r="C79" s="34"/>
      <c r="D79" s="34"/>
      <c r="E79" s="186" t="str">
        <f>IF(LEN(TRIM('4 доп.сведения'!B27))=0," ",'4 доп.сведения'!B27)</f>
        <v xml:space="preserve"> </v>
      </c>
      <c r="F79" s="186"/>
      <c r="G79" s="186"/>
      <c r="H79" s="186"/>
      <c r="I79" s="186"/>
      <c r="J79" s="186"/>
      <c r="K79" s="186"/>
      <c r="L79" s="186"/>
      <c r="M79" s="186"/>
      <c r="N79" s="186"/>
      <c r="O79" s="186"/>
      <c r="P79" s="186"/>
      <c r="Q79" s="186"/>
      <c r="R79" s="186"/>
      <c r="S79" s="186"/>
      <c r="T79" s="186"/>
      <c r="U79" s="186"/>
      <c r="V79" s="186"/>
      <c r="W79" s="186"/>
      <c r="X79" s="186"/>
      <c r="Y79" s="186"/>
      <c r="Z79" s="186"/>
      <c r="AA79" s="186"/>
      <c r="AB79" s="186"/>
      <c r="AC79" s="186"/>
      <c r="AD79" s="186"/>
      <c r="AE79" s="186"/>
      <c r="AF79" s="186"/>
      <c r="AG79" s="186"/>
      <c r="AH79" s="186"/>
      <c r="AI79" s="186"/>
      <c r="AJ79" s="186"/>
      <c r="AK79" s="186"/>
      <c r="AL79" s="34"/>
      <c r="AM79" s="34"/>
      <c r="AN79" s="34"/>
      <c r="AO79" s="187" t="str">
        <f>IF(LEN(TRIM('4 доп.сведения'!C27))=0," ",'4 доп.сведения'!C27)</f>
        <v xml:space="preserve"> </v>
      </c>
      <c r="AP79" s="187"/>
      <c r="AQ79" s="187"/>
      <c r="AR79" s="187"/>
      <c r="AS79" s="187"/>
      <c r="AT79" s="187"/>
      <c r="AU79" s="187"/>
      <c r="AV79" s="187"/>
      <c r="AW79" s="187"/>
      <c r="AX79" s="187"/>
      <c r="AY79" s="30"/>
      <c r="AZ79" s="30"/>
      <c r="BA79" s="30"/>
      <c r="BB79" s="30"/>
      <c r="BC79" s="40"/>
      <c r="BD79" s="40"/>
      <c r="BE79" s="191"/>
      <c r="BF79" s="191"/>
      <c r="BG79" s="191"/>
      <c r="BH79" s="191"/>
      <c r="BI79" s="191"/>
      <c r="BJ79" s="191"/>
      <c r="BK79" s="191"/>
      <c r="BL79" s="191"/>
      <c r="BM79" s="191"/>
      <c r="BN79" s="191"/>
      <c r="BO79" s="191"/>
      <c r="BP79" s="191"/>
      <c r="BQ79" s="191"/>
      <c r="BR79" s="191"/>
      <c r="BS79" s="191"/>
      <c r="BT79" s="191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104"/>
      <c r="DF79" s="29"/>
    </row>
    <row r="80" spans="1:110" ht="5.0999999999999996" customHeight="1" x14ac:dyDescent="0.25">
      <c r="A80" s="104"/>
      <c r="B80" s="30"/>
      <c r="C80" s="34"/>
      <c r="D80" s="34"/>
      <c r="E80" s="186"/>
      <c r="F80" s="186"/>
      <c r="G80" s="186"/>
      <c r="H80" s="186"/>
      <c r="I80" s="186"/>
      <c r="J80" s="186"/>
      <c r="K80" s="186"/>
      <c r="L80" s="186"/>
      <c r="M80" s="186"/>
      <c r="N80" s="186"/>
      <c r="O80" s="186"/>
      <c r="P80" s="186"/>
      <c r="Q80" s="186"/>
      <c r="R80" s="186"/>
      <c r="S80" s="186"/>
      <c r="T80" s="186"/>
      <c r="U80" s="186"/>
      <c r="V80" s="186"/>
      <c r="W80" s="186"/>
      <c r="X80" s="186"/>
      <c r="Y80" s="186"/>
      <c r="Z80" s="186"/>
      <c r="AA80" s="186"/>
      <c r="AB80" s="186"/>
      <c r="AC80" s="186"/>
      <c r="AD80" s="186"/>
      <c r="AE80" s="186"/>
      <c r="AF80" s="186"/>
      <c r="AG80" s="186"/>
      <c r="AH80" s="186"/>
      <c r="AI80" s="186"/>
      <c r="AJ80" s="186"/>
      <c r="AK80" s="186"/>
      <c r="AL80" s="34"/>
      <c r="AM80" s="34"/>
      <c r="AN80" s="34"/>
      <c r="AO80" s="187"/>
      <c r="AP80" s="187"/>
      <c r="AQ80" s="187"/>
      <c r="AR80" s="187"/>
      <c r="AS80" s="187"/>
      <c r="AT80" s="187"/>
      <c r="AU80" s="187"/>
      <c r="AV80" s="187"/>
      <c r="AW80" s="187"/>
      <c r="AX80" s="187"/>
      <c r="AY80" s="30"/>
      <c r="AZ80" s="30"/>
      <c r="BA80" s="30"/>
      <c r="BB80" s="30"/>
      <c r="BC80" s="40"/>
      <c r="BD80" s="40"/>
      <c r="BE80" s="191"/>
      <c r="BF80" s="191"/>
      <c r="BG80" s="191"/>
      <c r="BH80" s="191"/>
      <c r="BI80" s="191"/>
      <c r="BJ80" s="191"/>
      <c r="BK80" s="191"/>
      <c r="BL80" s="191"/>
      <c r="BM80" s="191"/>
      <c r="BN80" s="191"/>
      <c r="BO80" s="191"/>
      <c r="BP80" s="191"/>
      <c r="BQ80" s="191"/>
      <c r="BR80" s="191"/>
      <c r="BS80" s="191"/>
      <c r="BT80" s="191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104"/>
      <c r="DF80" s="29"/>
    </row>
    <row r="81" spans="1:110" ht="5.0999999999999996" customHeight="1" x14ac:dyDescent="0.25">
      <c r="A81" s="104"/>
      <c r="B81" s="30"/>
      <c r="C81" s="34"/>
      <c r="D81" s="34"/>
      <c r="E81" s="186" t="str">
        <f>IF(LEN(TRIM('4 доп.сведения'!B28))=0," ",'4 доп.сведения'!B28)</f>
        <v xml:space="preserve"> </v>
      </c>
      <c r="F81" s="186"/>
      <c r="G81" s="186"/>
      <c r="H81" s="186"/>
      <c r="I81" s="186"/>
      <c r="J81" s="186"/>
      <c r="K81" s="186"/>
      <c r="L81" s="186"/>
      <c r="M81" s="186"/>
      <c r="N81" s="186"/>
      <c r="O81" s="186"/>
      <c r="P81" s="186"/>
      <c r="Q81" s="186"/>
      <c r="R81" s="186"/>
      <c r="S81" s="186"/>
      <c r="T81" s="186"/>
      <c r="U81" s="186"/>
      <c r="V81" s="186"/>
      <c r="W81" s="186"/>
      <c r="X81" s="186"/>
      <c r="Y81" s="186"/>
      <c r="Z81" s="186"/>
      <c r="AA81" s="186"/>
      <c r="AB81" s="186"/>
      <c r="AC81" s="186"/>
      <c r="AD81" s="186"/>
      <c r="AE81" s="186"/>
      <c r="AF81" s="186"/>
      <c r="AG81" s="186"/>
      <c r="AH81" s="186"/>
      <c r="AI81" s="186"/>
      <c r="AJ81" s="186"/>
      <c r="AK81" s="186"/>
      <c r="AL81" s="34"/>
      <c r="AM81" s="34"/>
      <c r="AN81" s="34"/>
      <c r="AO81" s="187" t="str">
        <f>IF(LEN(TRIM('4 доп.сведения'!C28))=0," ",'4 доп.сведения'!C28)</f>
        <v xml:space="preserve"> </v>
      </c>
      <c r="AP81" s="187"/>
      <c r="AQ81" s="187"/>
      <c r="AR81" s="187"/>
      <c r="AS81" s="187"/>
      <c r="AT81" s="187"/>
      <c r="AU81" s="187"/>
      <c r="AV81" s="187"/>
      <c r="AW81" s="187"/>
      <c r="AX81" s="187"/>
      <c r="AY81" s="30"/>
      <c r="AZ81" s="30"/>
      <c r="BA81" s="30"/>
      <c r="BB81" s="30"/>
      <c r="BC81" s="40"/>
      <c r="BD81" s="40"/>
      <c r="BE81" s="191"/>
      <c r="BF81" s="191"/>
      <c r="BG81" s="191"/>
      <c r="BH81" s="191"/>
      <c r="BI81" s="191"/>
      <c r="BJ81" s="191"/>
      <c r="BK81" s="191"/>
      <c r="BL81" s="191"/>
      <c r="BM81" s="191"/>
      <c r="BN81" s="191"/>
      <c r="BO81" s="191"/>
      <c r="BP81" s="191"/>
      <c r="BQ81" s="191"/>
      <c r="BR81" s="191"/>
      <c r="BS81" s="191"/>
      <c r="BT81" s="191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104"/>
      <c r="DF81" s="29"/>
    </row>
    <row r="82" spans="1:110" ht="5.0999999999999996" customHeight="1" x14ac:dyDescent="0.25">
      <c r="A82" s="104"/>
      <c r="B82" s="30"/>
      <c r="C82" s="34"/>
      <c r="D82" s="34"/>
      <c r="E82" s="186"/>
      <c r="F82" s="186"/>
      <c r="G82" s="186"/>
      <c r="H82" s="186"/>
      <c r="I82" s="186"/>
      <c r="J82" s="186"/>
      <c r="K82" s="186"/>
      <c r="L82" s="186"/>
      <c r="M82" s="186"/>
      <c r="N82" s="186"/>
      <c r="O82" s="186"/>
      <c r="P82" s="186"/>
      <c r="Q82" s="186"/>
      <c r="R82" s="186"/>
      <c r="S82" s="186"/>
      <c r="T82" s="186"/>
      <c r="U82" s="186"/>
      <c r="V82" s="186"/>
      <c r="W82" s="186"/>
      <c r="X82" s="186"/>
      <c r="Y82" s="186"/>
      <c r="Z82" s="186"/>
      <c r="AA82" s="186"/>
      <c r="AB82" s="186"/>
      <c r="AC82" s="186"/>
      <c r="AD82" s="186"/>
      <c r="AE82" s="186"/>
      <c r="AF82" s="186"/>
      <c r="AG82" s="186"/>
      <c r="AH82" s="186"/>
      <c r="AI82" s="186"/>
      <c r="AJ82" s="186"/>
      <c r="AK82" s="186"/>
      <c r="AL82" s="34"/>
      <c r="AM82" s="34"/>
      <c r="AN82" s="34"/>
      <c r="AO82" s="187"/>
      <c r="AP82" s="187"/>
      <c r="AQ82" s="187"/>
      <c r="AR82" s="187"/>
      <c r="AS82" s="187"/>
      <c r="AT82" s="187"/>
      <c r="AU82" s="187"/>
      <c r="AV82" s="187"/>
      <c r="AW82" s="187"/>
      <c r="AX82" s="187"/>
      <c r="AY82" s="30"/>
      <c r="AZ82" s="30"/>
      <c r="BA82" s="30"/>
      <c r="BB82" s="30"/>
      <c r="BC82" s="40"/>
      <c r="BD82" s="40"/>
      <c r="BE82" s="191"/>
      <c r="BF82" s="191"/>
      <c r="BG82" s="191"/>
      <c r="BH82" s="191"/>
      <c r="BI82" s="191"/>
      <c r="BJ82" s="191"/>
      <c r="BK82" s="191"/>
      <c r="BL82" s="191"/>
      <c r="BM82" s="191"/>
      <c r="BN82" s="191"/>
      <c r="BO82" s="191"/>
      <c r="BP82" s="191"/>
      <c r="BQ82" s="191"/>
      <c r="BR82" s="191"/>
      <c r="BS82" s="191"/>
      <c r="BT82" s="191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104"/>
      <c r="DF82" s="29"/>
    </row>
    <row r="83" spans="1:110" ht="5.0999999999999996" customHeight="1" x14ac:dyDescent="0.25">
      <c r="A83" s="104"/>
      <c r="B83" s="30"/>
      <c r="C83" s="34"/>
      <c r="D83" s="34"/>
      <c r="E83" s="186" t="str">
        <f>IF(LEN(TRIM('4 доп.сведения'!B29))=0," ",'4 доп.сведения'!B29)</f>
        <v xml:space="preserve"> </v>
      </c>
      <c r="F83" s="186"/>
      <c r="G83" s="186"/>
      <c r="H83" s="186"/>
      <c r="I83" s="186"/>
      <c r="J83" s="186"/>
      <c r="K83" s="186"/>
      <c r="L83" s="186"/>
      <c r="M83" s="186"/>
      <c r="N83" s="186"/>
      <c r="O83" s="186"/>
      <c r="P83" s="186"/>
      <c r="Q83" s="186"/>
      <c r="R83" s="186"/>
      <c r="S83" s="186"/>
      <c r="T83" s="186"/>
      <c r="U83" s="186"/>
      <c r="V83" s="186"/>
      <c r="W83" s="186"/>
      <c r="X83" s="186"/>
      <c r="Y83" s="186"/>
      <c r="Z83" s="186"/>
      <c r="AA83" s="186"/>
      <c r="AB83" s="186"/>
      <c r="AC83" s="186"/>
      <c r="AD83" s="186"/>
      <c r="AE83" s="186"/>
      <c r="AF83" s="186"/>
      <c r="AG83" s="186"/>
      <c r="AH83" s="186"/>
      <c r="AI83" s="186"/>
      <c r="AJ83" s="186"/>
      <c r="AK83" s="186"/>
      <c r="AL83" s="34"/>
      <c r="AM83" s="34"/>
      <c r="AN83" s="34"/>
      <c r="AO83" s="187" t="str">
        <f>IF(LEN(TRIM('4 доп.сведения'!C29))=0," ",'4 доп.сведения'!C29)</f>
        <v xml:space="preserve"> </v>
      </c>
      <c r="AP83" s="187"/>
      <c r="AQ83" s="187"/>
      <c r="AR83" s="187"/>
      <c r="AS83" s="187"/>
      <c r="AT83" s="187"/>
      <c r="AU83" s="187"/>
      <c r="AV83" s="187"/>
      <c r="AW83" s="187"/>
      <c r="AX83" s="187"/>
      <c r="AY83" s="30"/>
      <c r="AZ83" s="30"/>
      <c r="BA83" s="30"/>
      <c r="BB83" s="30"/>
      <c r="BC83" s="30"/>
      <c r="BD83" s="30"/>
      <c r="BE83" s="191"/>
      <c r="BF83" s="191"/>
      <c r="BG83" s="191"/>
      <c r="BH83" s="191"/>
      <c r="BI83" s="191"/>
      <c r="BJ83" s="191"/>
      <c r="BK83" s="191"/>
      <c r="BL83" s="191"/>
      <c r="BM83" s="191"/>
      <c r="BN83" s="191"/>
      <c r="BO83" s="191"/>
      <c r="BP83" s="191"/>
      <c r="BQ83" s="191"/>
      <c r="BR83" s="191"/>
      <c r="BS83" s="191"/>
      <c r="BT83" s="191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104"/>
      <c r="DF83" s="29"/>
    </row>
    <row r="84" spans="1:110" ht="5.0999999999999996" customHeight="1" x14ac:dyDescent="0.25">
      <c r="A84" s="104"/>
      <c r="B84" s="30"/>
      <c r="C84" s="34"/>
      <c r="D84" s="34"/>
      <c r="E84" s="186"/>
      <c r="F84" s="186"/>
      <c r="G84" s="186"/>
      <c r="H84" s="186"/>
      <c r="I84" s="186"/>
      <c r="J84" s="186"/>
      <c r="K84" s="186"/>
      <c r="L84" s="186"/>
      <c r="M84" s="186"/>
      <c r="N84" s="186"/>
      <c r="O84" s="186"/>
      <c r="P84" s="186"/>
      <c r="Q84" s="186"/>
      <c r="R84" s="186"/>
      <c r="S84" s="186"/>
      <c r="T84" s="186"/>
      <c r="U84" s="186"/>
      <c r="V84" s="186"/>
      <c r="W84" s="186"/>
      <c r="X84" s="186"/>
      <c r="Y84" s="186"/>
      <c r="Z84" s="186"/>
      <c r="AA84" s="186"/>
      <c r="AB84" s="186"/>
      <c r="AC84" s="186"/>
      <c r="AD84" s="186"/>
      <c r="AE84" s="186"/>
      <c r="AF84" s="186"/>
      <c r="AG84" s="186"/>
      <c r="AH84" s="186"/>
      <c r="AI84" s="186"/>
      <c r="AJ84" s="186"/>
      <c r="AK84" s="186"/>
      <c r="AL84" s="34"/>
      <c r="AM84" s="34"/>
      <c r="AN84" s="34"/>
      <c r="AO84" s="187"/>
      <c r="AP84" s="187"/>
      <c r="AQ84" s="187"/>
      <c r="AR84" s="187"/>
      <c r="AS84" s="187"/>
      <c r="AT84" s="187"/>
      <c r="AU84" s="187"/>
      <c r="AV84" s="187"/>
      <c r="AW84" s="187"/>
      <c r="AX84" s="187"/>
      <c r="AY84" s="30"/>
      <c r="AZ84" s="30"/>
      <c r="BA84" s="30"/>
      <c r="BB84" s="30"/>
      <c r="BC84" s="30"/>
      <c r="BD84" s="30"/>
      <c r="BE84" s="191"/>
      <c r="BF84" s="191"/>
      <c r="BG84" s="191"/>
      <c r="BH84" s="191"/>
      <c r="BI84" s="191"/>
      <c r="BJ84" s="191"/>
      <c r="BK84" s="191"/>
      <c r="BL84" s="191"/>
      <c r="BM84" s="191"/>
      <c r="BN84" s="191"/>
      <c r="BO84" s="191"/>
      <c r="BP84" s="191"/>
      <c r="BQ84" s="191"/>
      <c r="BR84" s="191"/>
      <c r="BS84" s="191"/>
      <c r="BT84" s="191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104"/>
      <c r="DF84" s="29"/>
    </row>
    <row r="85" spans="1:110" ht="5.0999999999999996" customHeight="1" x14ac:dyDescent="0.25">
      <c r="A85" s="104"/>
      <c r="B85" s="30"/>
      <c r="C85" s="34"/>
      <c r="D85" s="34"/>
      <c r="E85" s="186" t="str">
        <f>IF(LEN(TRIM('4 доп.сведения'!B30))=0," ",'4 доп.сведения'!B30)</f>
        <v xml:space="preserve"> </v>
      </c>
      <c r="F85" s="186"/>
      <c r="G85" s="186"/>
      <c r="H85" s="186"/>
      <c r="I85" s="186"/>
      <c r="J85" s="186"/>
      <c r="K85" s="186"/>
      <c r="L85" s="186"/>
      <c r="M85" s="186"/>
      <c r="N85" s="186"/>
      <c r="O85" s="186"/>
      <c r="P85" s="186"/>
      <c r="Q85" s="186"/>
      <c r="R85" s="186"/>
      <c r="S85" s="186"/>
      <c r="T85" s="186"/>
      <c r="U85" s="186"/>
      <c r="V85" s="186"/>
      <c r="W85" s="186"/>
      <c r="X85" s="186"/>
      <c r="Y85" s="186"/>
      <c r="Z85" s="186"/>
      <c r="AA85" s="186"/>
      <c r="AB85" s="186"/>
      <c r="AC85" s="186"/>
      <c r="AD85" s="186"/>
      <c r="AE85" s="186"/>
      <c r="AF85" s="186"/>
      <c r="AG85" s="186"/>
      <c r="AH85" s="186"/>
      <c r="AI85" s="186"/>
      <c r="AJ85" s="186"/>
      <c r="AK85" s="186"/>
      <c r="AL85" s="34"/>
      <c r="AM85" s="34"/>
      <c r="AN85" s="34"/>
      <c r="AO85" s="187" t="str">
        <f>IF(LEN(TRIM('4 доп.сведения'!C30))=0," ",'4 доп.сведения'!C30)</f>
        <v xml:space="preserve"> </v>
      </c>
      <c r="AP85" s="187"/>
      <c r="AQ85" s="187"/>
      <c r="AR85" s="187"/>
      <c r="AS85" s="187"/>
      <c r="AT85" s="187"/>
      <c r="AU85" s="187"/>
      <c r="AV85" s="187"/>
      <c r="AW85" s="187"/>
      <c r="AX85" s="187"/>
      <c r="AY85" s="30"/>
      <c r="AZ85" s="30"/>
      <c r="BA85" s="30"/>
      <c r="BB85" s="30"/>
      <c r="BC85" s="30"/>
      <c r="BD85" s="30"/>
      <c r="BE85" s="169" t="str">
        <f>Диплом!B3</f>
        <v>г Москва</v>
      </c>
      <c r="BF85" s="169"/>
      <c r="BG85" s="169"/>
      <c r="BH85" s="169"/>
      <c r="BI85" s="169"/>
      <c r="BJ85" s="169"/>
      <c r="BK85" s="169"/>
      <c r="BL85" s="169"/>
      <c r="BM85" s="169"/>
      <c r="BN85" s="169"/>
      <c r="BO85" s="169"/>
      <c r="BP85" s="169"/>
      <c r="BQ85" s="169"/>
      <c r="BR85" s="169"/>
      <c r="BS85" s="169"/>
      <c r="BT85" s="169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104"/>
      <c r="DF85" s="29"/>
    </row>
    <row r="86" spans="1:110" ht="5.0999999999999996" customHeight="1" x14ac:dyDescent="0.25">
      <c r="A86" s="104"/>
      <c r="B86" s="30"/>
      <c r="C86" s="34"/>
      <c r="D86" s="34"/>
      <c r="E86" s="186"/>
      <c r="F86" s="186"/>
      <c r="G86" s="186"/>
      <c r="H86" s="186"/>
      <c r="I86" s="186"/>
      <c r="J86" s="186"/>
      <c r="K86" s="186"/>
      <c r="L86" s="186"/>
      <c r="M86" s="186"/>
      <c r="N86" s="186"/>
      <c r="O86" s="186"/>
      <c r="P86" s="186"/>
      <c r="Q86" s="186"/>
      <c r="R86" s="186"/>
      <c r="S86" s="186"/>
      <c r="T86" s="186"/>
      <c r="U86" s="186"/>
      <c r="V86" s="186"/>
      <c r="W86" s="186"/>
      <c r="X86" s="186"/>
      <c r="Y86" s="186"/>
      <c r="Z86" s="186"/>
      <c r="AA86" s="186"/>
      <c r="AB86" s="186"/>
      <c r="AC86" s="186"/>
      <c r="AD86" s="186"/>
      <c r="AE86" s="186"/>
      <c r="AF86" s="186"/>
      <c r="AG86" s="186"/>
      <c r="AH86" s="186"/>
      <c r="AI86" s="186"/>
      <c r="AJ86" s="186"/>
      <c r="AK86" s="186"/>
      <c r="AL86" s="34"/>
      <c r="AM86" s="34"/>
      <c r="AN86" s="34"/>
      <c r="AO86" s="187"/>
      <c r="AP86" s="187"/>
      <c r="AQ86" s="187"/>
      <c r="AR86" s="187"/>
      <c r="AS86" s="187"/>
      <c r="AT86" s="187"/>
      <c r="AU86" s="187"/>
      <c r="AV86" s="187"/>
      <c r="AW86" s="187"/>
      <c r="AX86" s="187"/>
      <c r="AY86" s="30"/>
      <c r="AZ86" s="30"/>
      <c r="BA86" s="30"/>
      <c r="BB86" s="30"/>
      <c r="BC86" s="30"/>
      <c r="BD86" s="30"/>
      <c r="BE86" s="169"/>
      <c r="BF86" s="169"/>
      <c r="BG86" s="169"/>
      <c r="BH86" s="169"/>
      <c r="BI86" s="169"/>
      <c r="BJ86" s="169"/>
      <c r="BK86" s="169"/>
      <c r="BL86" s="169"/>
      <c r="BM86" s="169"/>
      <c r="BN86" s="169"/>
      <c r="BO86" s="169"/>
      <c r="BP86" s="169"/>
      <c r="BQ86" s="169"/>
      <c r="BR86" s="169"/>
      <c r="BS86" s="169"/>
      <c r="BT86" s="169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104"/>
      <c r="DF86" s="29"/>
    </row>
    <row r="87" spans="1:110" ht="5.0999999999999996" customHeight="1" x14ac:dyDescent="0.25">
      <c r="A87" s="104"/>
      <c r="B87" s="30"/>
      <c r="C87" s="34"/>
      <c r="D87" s="34"/>
      <c r="E87" s="186" t="str">
        <f>IF(LEN(TRIM('4 доп.сведения'!B31))=0," ",'4 доп.сведения'!B31)</f>
        <v xml:space="preserve"> </v>
      </c>
      <c r="F87" s="186"/>
      <c r="G87" s="186"/>
      <c r="H87" s="186"/>
      <c r="I87" s="186"/>
      <c r="J87" s="186"/>
      <c r="K87" s="186"/>
      <c r="L87" s="186"/>
      <c r="M87" s="186"/>
      <c r="N87" s="186"/>
      <c r="O87" s="186"/>
      <c r="P87" s="186"/>
      <c r="Q87" s="186"/>
      <c r="R87" s="186"/>
      <c r="S87" s="186"/>
      <c r="T87" s="186"/>
      <c r="U87" s="186"/>
      <c r="V87" s="186"/>
      <c r="W87" s="186"/>
      <c r="X87" s="186"/>
      <c r="Y87" s="186"/>
      <c r="Z87" s="186"/>
      <c r="AA87" s="186"/>
      <c r="AB87" s="186"/>
      <c r="AC87" s="186"/>
      <c r="AD87" s="186"/>
      <c r="AE87" s="186"/>
      <c r="AF87" s="186"/>
      <c r="AG87" s="186"/>
      <c r="AH87" s="186"/>
      <c r="AI87" s="186"/>
      <c r="AJ87" s="186"/>
      <c r="AK87" s="186"/>
      <c r="AL87" s="34"/>
      <c r="AM87" s="34"/>
      <c r="AN87" s="34"/>
      <c r="AO87" s="187" t="str">
        <f>IF(LEN(TRIM('4 доп.сведения'!C31))=0," ",'4 доп.сведения'!C31)</f>
        <v xml:space="preserve"> </v>
      </c>
      <c r="AP87" s="187"/>
      <c r="AQ87" s="187"/>
      <c r="AR87" s="187"/>
      <c r="AS87" s="187"/>
      <c r="AT87" s="187"/>
      <c r="AU87" s="187"/>
      <c r="AV87" s="187"/>
      <c r="AW87" s="187"/>
      <c r="AX87" s="187"/>
      <c r="AY87" s="30"/>
      <c r="AZ87" s="30"/>
      <c r="BA87" s="30"/>
      <c r="BB87" s="30"/>
      <c r="BC87" s="30"/>
      <c r="BD87" s="30"/>
      <c r="BE87" s="169"/>
      <c r="BF87" s="169"/>
      <c r="BG87" s="169"/>
      <c r="BH87" s="169"/>
      <c r="BI87" s="169"/>
      <c r="BJ87" s="169"/>
      <c r="BK87" s="169"/>
      <c r="BL87" s="169"/>
      <c r="BM87" s="169"/>
      <c r="BN87" s="169"/>
      <c r="BO87" s="169"/>
      <c r="BP87" s="169"/>
      <c r="BQ87" s="169"/>
      <c r="BR87" s="169"/>
      <c r="BS87" s="169"/>
      <c r="BT87" s="169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104"/>
      <c r="DF87" s="29"/>
    </row>
    <row r="88" spans="1:110" ht="5.0999999999999996" customHeight="1" x14ac:dyDescent="0.25">
      <c r="A88" s="104"/>
      <c r="B88" s="30"/>
      <c r="C88" s="34"/>
      <c r="D88" s="34"/>
      <c r="E88" s="186"/>
      <c r="F88" s="186"/>
      <c r="G88" s="186"/>
      <c r="H88" s="186"/>
      <c r="I88" s="186"/>
      <c r="J88" s="186"/>
      <c r="K88" s="186"/>
      <c r="L88" s="186"/>
      <c r="M88" s="186"/>
      <c r="N88" s="186"/>
      <c r="O88" s="186"/>
      <c r="P88" s="186"/>
      <c r="Q88" s="186"/>
      <c r="R88" s="186"/>
      <c r="S88" s="186"/>
      <c r="T88" s="186"/>
      <c r="U88" s="186"/>
      <c r="V88" s="186"/>
      <c r="W88" s="186"/>
      <c r="X88" s="186"/>
      <c r="Y88" s="186"/>
      <c r="Z88" s="186"/>
      <c r="AA88" s="186"/>
      <c r="AB88" s="186"/>
      <c r="AC88" s="186"/>
      <c r="AD88" s="186"/>
      <c r="AE88" s="186"/>
      <c r="AF88" s="186"/>
      <c r="AG88" s="186"/>
      <c r="AH88" s="186"/>
      <c r="AI88" s="186"/>
      <c r="AJ88" s="186"/>
      <c r="AK88" s="186"/>
      <c r="AL88" s="34"/>
      <c r="AM88" s="34"/>
      <c r="AN88" s="34"/>
      <c r="AO88" s="187"/>
      <c r="AP88" s="187"/>
      <c r="AQ88" s="187"/>
      <c r="AR88" s="187"/>
      <c r="AS88" s="187"/>
      <c r="AT88" s="187"/>
      <c r="AU88" s="187"/>
      <c r="AV88" s="187"/>
      <c r="AW88" s="187"/>
      <c r="AX88" s="187"/>
      <c r="AY88" s="30"/>
      <c r="AZ88" s="30"/>
      <c r="BA88" s="30"/>
      <c r="BB88" s="30"/>
      <c r="BC88" s="30"/>
      <c r="BD88" s="30"/>
      <c r="BE88" s="169"/>
      <c r="BF88" s="169"/>
      <c r="BG88" s="169"/>
      <c r="BH88" s="169"/>
      <c r="BI88" s="169"/>
      <c r="BJ88" s="169"/>
      <c r="BK88" s="169"/>
      <c r="BL88" s="169"/>
      <c r="BM88" s="169"/>
      <c r="BN88" s="169"/>
      <c r="BO88" s="169"/>
      <c r="BP88" s="169"/>
      <c r="BQ88" s="169"/>
      <c r="BR88" s="169"/>
      <c r="BS88" s="169"/>
      <c r="BT88" s="169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104"/>
      <c r="DF88" s="29"/>
    </row>
    <row r="89" spans="1:110" ht="5.0999999999999996" customHeight="1" x14ac:dyDescent="0.25">
      <c r="A89" s="104"/>
      <c r="B89" s="30"/>
      <c r="C89" s="34"/>
      <c r="D89" s="34"/>
      <c r="E89" s="186" t="str">
        <f>IF(LEN(TRIM('4 доп.сведения'!B32))=0," ",'4 доп.сведения'!B32)</f>
        <v xml:space="preserve"> </v>
      </c>
      <c r="F89" s="186"/>
      <c r="G89" s="186"/>
      <c r="H89" s="186"/>
      <c r="I89" s="186"/>
      <c r="J89" s="186"/>
      <c r="K89" s="186"/>
      <c r="L89" s="186"/>
      <c r="M89" s="186"/>
      <c r="N89" s="186"/>
      <c r="O89" s="186"/>
      <c r="P89" s="186"/>
      <c r="Q89" s="186"/>
      <c r="R89" s="186"/>
      <c r="S89" s="186"/>
      <c r="T89" s="186"/>
      <c r="U89" s="186"/>
      <c r="V89" s="186"/>
      <c r="W89" s="186"/>
      <c r="X89" s="186"/>
      <c r="Y89" s="186"/>
      <c r="Z89" s="186"/>
      <c r="AA89" s="186"/>
      <c r="AB89" s="186"/>
      <c r="AC89" s="186"/>
      <c r="AD89" s="186"/>
      <c r="AE89" s="186"/>
      <c r="AF89" s="186"/>
      <c r="AG89" s="186"/>
      <c r="AH89" s="186"/>
      <c r="AI89" s="186"/>
      <c r="AJ89" s="186"/>
      <c r="AK89" s="186"/>
      <c r="AL89" s="34"/>
      <c r="AM89" s="34"/>
      <c r="AN89" s="34"/>
      <c r="AO89" s="187" t="str">
        <f>IF(LEN(TRIM('4 доп.сведения'!C32))=0," ",'4 доп.сведения'!C32)</f>
        <v xml:space="preserve"> </v>
      </c>
      <c r="AP89" s="187"/>
      <c r="AQ89" s="187"/>
      <c r="AR89" s="187"/>
      <c r="AS89" s="187"/>
      <c r="AT89" s="187"/>
      <c r="AU89" s="187"/>
      <c r="AV89" s="187"/>
      <c r="AW89" s="187"/>
      <c r="AX89" s="187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40"/>
      <c r="BV89" s="40"/>
      <c r="BW89" s="40"/>
      <c r="BX89" s="40"/>
      <c r="BY89" s="40"/>
      <c r="BZ89" s="40"/>
      <c r="CA89" s="40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40"/>
      <c r="CP89" s="40"/>
      <c r="CQ89" s="40"/>
      <c r="CR89" s="40"/>
      <c r="CS89" s="40"/>
      <c r="CT89" s="40"/>
      <c r="CU89" s="40"/>
      <c r="CV89" s="40"/>
      <c r="CW89" s="40"/>
      <c r="CX89" s="40"/>
      <c r="CY89" s="40"/>
      <c r="CZ89" s="40"/>
      <c r="DA89" s="110"/>
      <c r="DB89" s="110"/>
      <c r="DC89" s="110"/>
      <c r="DD89" s="30"/>
      <c r="DE89" s="104"/>
      <c r="DF89" s="29"/>
    </row>
    <row r="90" spans="1:110" ht="5.0999999999999996" customHeight="1" x14ac:dyDescent="0.25">
      <c r="A90" s="104"/>
      <c r="B90" s="30"/>
      <c r="C90" s="34"/>
      <c r="D90" s="34"/>
      <c r="E90" s="186"/>
      <c r="F90" s="186"/>
      <c r="G90" s="186"/>
      <c r="H90" s="186"/>
      <c r="I90" s="186"/>
      <c r="J90" s="186"/>
      <c r="K90" s="186"/>
      <c r="L90" s="186"/>
      <c r="M90" s="186"/>
      <c r="N90" s="186"/>
      <c r="O90" s="186"/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  <c r="AA90" s="186"/>
      <c r="AB90" s="186"/>
      <c r="AC90" s="186"/>
      <c r="AD90" s="186"/>
      <c r="AE90" s="186"/>
      <c r="AF90" s="186"/>
      <c r="AG90" s="186"/>
      <c r="AH90" s="186"/>
      <c r="AI90" s="186"/>
      <c r="AJ90" s="186"/>
      <c r="AK90" s="186"/>
      <c r="AL90" s="34"/>
      <c r="AM90" s="34"/>
      <c r="AN90" s="34"/>
      <c r="AO90" s="187"/>
      <c r="AP90" s="187"/>
      <c r="AQ90" s="187"/>
      <c r="AR90" s="187"/>
      <c r="AS90" s="187"/>
      <c r="AT90" s="187"/>
      <c r="AU90" s="187"/>
      <c r="AV90" s="187"/>
      <c r="AW90" s="187"/>
      <c r="AX90" s="187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40"/>
      <c r="BV90" s="40"/>
      <c r="BW90" s="169"/>
      <c r="BX90" s="169"/>
      <c r="BY90" s="169"/>
      <c r="BZ90" s="169"/>
      <c r="CA90" s="169"/>
      <c r="CB90" s="169"/>
      <c r="CC90" s="169"/>
      <c r="CD90" s="169"/>
      <c r="CE90" s="169"/>
      <c r="CF90" s="169"/>
      <c r="CG90" s="169"/>
      <c r="CH90" s="169"/>
      <c r="CI90" s="169"/>
      <c r="CJ90" s="169"/>
      <c r="CK90" s="169"/>
      <c r="CL90" s="169"/>
      <c r="CM90" s="169"/>
      <c r="CN90" s="169"/>
      <c r="CO90" s="169"/>
      <c r="CP90" s="169"/>
      <c r="CQ90" s="169"/>
      <c r="CR90" s="169"/>
      <c r="CS90" s="169"/>
      <c r="CT90" s="169"/>
      <c r="CU90" s="169"/>
      <c r="CV90" s="169"/>
      <c r="CW90" s="169"/>
      <c r="CX90" s="169"/>
      <c r="CY90" s="169"/>
      <c r="CZ90" s="169"/>
      <c r="DA90" s="169"/>
      <c r="DB90" s="169"/>
      <c r="DC90" s="169"/>
      <c r="DD90" s="30"/>
      <c r="DE90" s="104"/>
      <c r="DF90" s="29"/>
    </row>
    <row r="91" spans="1:110" ht="5.0999999999999996" customHeight="1" x14ac:dyDescent="0.25">
      <c r="A91" s="104"/>
      <c r="B91" s="30"/>
      <c r="C91" s="34"/>
      <c r="D91" s="34"/>
      <c r="E91" s="186" t="str">
        <f>IF(LEN(TRIM('4 доп.сведения'!B33))=0," ",'4 доп.сведения'!B33)</f>
        <v xml:space="preserve"> </v>
      </c>
      <c r="F91" s="186"/>
      <c r="G91" s="186"/>
      <c r="H91" s="186"/>
      <c r="I91" s="186"/>
      <c r="J91" s="186"/>
      <c r="K91" s="186"/>
      <c r="L91" s="186"/>
      <c r="M91" s="186"/>
      <c r="N91" s="186"/>
      <c r="O91" s="186"/>
      <c r="P91" s="186"/>
      <c r="Q91" s="186"/>
      <c r="R91" s="186"/>
      <c r="S91" s="186"/>
      <c r="T91" s="186"/>
      <c r="U91" s="186"/>
      <c r="V91" s="186"/>
      <c r="W91" s="186"/>
      <c r="X91" s="186"/>
      <c r="Y91" s="186"/>
      <c r="Z91" s="186"/>
      <c r="AA91" s="186"/>
      <c r="AB91" s="186"/>
      <c r="AC91" s="186"/>
      <c r="AD91" s="186"/>
      <c r="AE91" s="186"/>
      <c r="AF91" s="186"/>
      <c r="AG91" s="186"/>
      <c r="AH91" s="186"/>
      <c r="AI91" s="186"/>
      <c r="AJ91" s="186"/>
      <c r="AK91" s="186"/>
      <c r="AL91" s="34"/>
      <c r="AM91" s="34"/>
      <c r="AN91" s="34"/>
      <c r="AO91" s="187" t="str">
        <f>IF(LEN(TRIM('4 доп.сведения'!C33))=0," ",'4 доп.сведения'!C33)</f>
        <v xml:space="preserve"> </v>
      </c>
      <c r="AP91" s="187"/>
      <c r="AQ91" s="187"/>
      <c r="AR91" s="187"/>
      <c r="AS91" s="187"/>
      <c r="AT91" s="187"/>
      <c r="AU91" s="187"/>
      <c r="AV91" s="187"/>
      <c r="AW91" s="187"/>
      <c r="AX91" s="187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40"/>
      <c r="BV91" s="40"/>
      <c r="BW91" s="169"/>
      <c r="BX91" s="169"/>
      <c r="BY91" s="169"/>
      <c r="BZ91" s="169"/>
      <c r="CA91" s="169"/>
      <c r="CB91" s="169"/>
      <c r="CC91" s="169"/>
      <c r="CD91" s="169"/>
      <c r="CE91" s="169"/>
      <c r="CF91" s="169"/>
      <c r="CG91" s="169"/>
      <c r="CH91" s="169"/>
      <c r="CI91" s="169"/>
      <c r="CJ91" s="169"/>
      <c r="CK91" s="169"/>
      <c r="CL91" s="169"/>
      <c r="CM91" s="169"/>
      <c r="CN91" s="169"/>
      <c r="CO91" s="169"/>
      <c r="CP91" s="169"/>
      <c r="CQ91" s="169"/>
      <c r="CR91" s="169"/>
      <c r="CS91" s="169"/>
      <c r="CT91" s="169"/>
      <c r="CU91" s="169"/>
      <c r="CV91" s="169"/>
      <c r="CW91" s="169"/>
      <c r="CX91" s="169"/>
      <c r="CY91" s="169"/>
      <c r="CZ91" s="169"/>
      <c r="DA91" s="169"/>
      <c r="DB91" s="169"/>
      <c r="DC91" s="169"/>
      <c r="DD91" s="30"/>
      <c r="DE91" s="104"/>
      <c r="DF91" s="29"/>
    </row>
    <row r="92" spans="1:110" ht="5.0999999999999996" customHeight="1" x14ac:dyDescent="0.25">
      <c r="A92" s="104"/>
      <c r="B92" s="30"/>
      <c r="C92" s="34"/>
      <c r="D92" s="34"/>
      <c r="E92" s="186"/>
      <c r="F92" s="186"/>
      <c r="G92" s="186"/>
      <c r="H92" s="186"/>
      <c r="I92" s="186"/>
      <c r="J92" s="186"/>
      <c r="K92" s="186"/>
      <c r="L92" s="186"/>
      <c r="M92" s="186"/>
      <c r="N92" s="186"/>
      <c r="O92" s="186"/>
      <c r="P92" s="186"/>
      <c r="Q92" s="186"/>
      <c r="R92" s="186"/>
      <c r="S92" s="186"/>
      <c r="T92" s="186"/>
      <c r="U92" s="186"/>
      <c r="V92" s="186"/>
      <c r="W92" s="186"/>
      <c r="X92" s="186"/>
      <c r="Y92" s="186"/>
      <c r="Z92" s="186"/>
      <c r="AA92" s="186"/>
      <c r="AB92" s="186"/>
      <c r="AC92" s="186"/>
      <c r="AD92" s="186"/>
      <c r="AE92" s="186"/>
      <c r="AF92" s="186"/>
      <c r="AG92" s="186"/>
      <c r="AH92" s="186"/>
      <c r="AI92" s="186"/>
      <c r="AJ92" s="186"/>
      <c r="AK92" s="186"/>
      <c r="AL92" s="34"/>
      <c r="AM92" s="34"/>
      <c r="AN92" s="34"/>
      <c r="AO92" s="187"/>
      <c r="AP92" s="187"/>
      <c r="AQ92" s="187"/>
      <c r="AR92" s="187"/>
      <c r="AS92" s="187"/>
      <c r="AT92" s="187"/>
      <c r="AU92" s="187"/>
      <c r="AV92" s="187"/>
      <c r="AW92" s="187"/>
      <c r="AX92" s="187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40"/>
      <c r="BV92" s="40"/>
      <c r="BW92" s="169"/>
      <c r="BX92" s="169"/>
      <c r="BY92" s="169"/>
      <c r="BZ92" s="169"/>
      <c r="CA92" s="169"/>
      <c r="CB92" s="169"/>
      <c r="CC92" s="169"/>
      <c r="CD92" s="169"/>
      <c r="CE92" s="169"/>
      <c r="CF92" s="169"/>
      <c r="CG92" s="169"/>
      <c r="CH92" s="169"/>
      <c r="CI92" s="169"/>
      <c r="CJ92" s="169"/>
      <c r="CK92" s="169"/>
      <c r="CL92" s="169"/>
      <c r="CM92" s="169"/>
      <c r="CN92" s="169"/>
      <c r="CO92" s="169"/>
      <c r="CP92" s="169"/>
      <c r="CQ92" s="169"/>
      <c r="CR92" s="169"/>
      <c r="CS92" s="169"/>
      <c r="CT92" s="169"/>
      <c r="CU92" s="169"/>
      <c r="CV92" s="169"/>
      <c r="CW92" s="169"/>
      <c r="CX92" s="169"/>
      <c r="CY92" s="169"/>
      <c r="CZ92" s="169"/>
      <c r="DA92" s="169"/>
      <c r="DB92" s="169"/>
      <c r="DC92" s="169"/>
      <c r="DD92" s="30"/>
      <c r="DE92" s="104"/>
      <c r="DF92" s="29"/>
    </row>
    <row r="93" spans="1:110" ht="5.0999999999999996" customHeight="1" x14ac:dyDescent="0.25">
      <c r="A93" s="104"/>
      <c r="B93" s="30"/>
      <c r="C93" s="34"/>
      <c r="D93" s="34"/>
      <c r="E93" s="186" t="str">
        <f>IF(LEN(TRIM('4 доп.сведения'!B34))=0," ",'4 доп.сведения'!B34)</f>
        <v xml:space="preserve"> </v>
      </c>
      <c r="F93" s="186"/>
      <c r="G93" s="186"/>
      <c r="H93" s="186"/>
      <c r="I93" s="186"/>
      <c r="J93" s="186"/>
      <c r="K93" s="186"/>
      <c r="L93" s="186"/>
      <c r="M93" s="186"/>
      <c r="N93" s="186"/>
      <c r="O93" s="186"/>
      <c r="P93" s="186"/>
      <c r="Q93" s="186"/>
      <c r="R93" s="186"/>
      <c r="S93" s="186"/>
      <c r="T93" s="186"/>
      <c r="U93" s="186"/>
      <c r="V93" s="186"/>
      <c r="W93" s="186"/>
      <c r="X93" s="186"/>
      <c r="Y93" s="186"/>
      <c r="Z93" s="186"/>
      <c r="AA93" s="186"/>
      <c r="AB93" s="186"/>
      <c r="AC93" s="186"/>
      <c r="AD93" s="186"/>
      <c r="AE93" s="186"/>
      <c r="AF93" s="186"/>
      <c r="AG93" s="186"/>
      <c r="AH93" s="186"/>
      <c r="AI93" s="186"/>
      <c r="AJ93" s="186"/>
      <c r="AK93" s="186"/>
      <c r="AL93" s="34"/>
      <c r="AM93" s="34"/>
      <c r="AN93" s="34"/>
      <c r="AO93" s="187" t="str">
        <f>IF(LEN(TRIM('4 доп.сведения'!C34))=0," ",'4 доп.сведения'!C34)</f>
        <v xml:space="preserve"> </v>
      </c>
      <c r="AP93" s="187"/>
      <c r="AQ93" s="187"/>
      <c r="AR93" s="187"/>
      <c r="AS93" s="187"/>
      <c r="AT93" s="187"/>
      <c r="AU93" s="187"/>
      <c r="AV93" s="187"/>
      <c r="AW93" s="187"/>
      <c r="AX93" s="187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40"/>
      <c r="BV93" s="40"/>
      <c r="BW93" s="169"/>
      <c r="BX93" s="169"/>
      <c r="BY93" s="169"/>
      <c r="BZ93" s="169"/>
      <c r="CA93" s="169"/>
      <c r="CB93" s="169"/>
      <c r="CC93" s="169"/>
      <c r="CD93" s="169"/>
      <c r="CE93" s="169"/>
      <c r="CF93" s="169"/>
      <c r="CG93" s="169"/>
      <c r="CH93" s="169"/>
      <c r="CI93" s="169"/>
      <c r="CJ93" s="169"/>
      <c r="CK93" s="169"/>
      <c r="CL93" s="169"/>
      <c r="CM93" s="169"/>
      <c r="CN93" s="169"/>
      <c r="CO93" s="169"/>
      <c r="CP93" s="169"/>
      <c r="CQ93" s="169"/>
      <c r="CR93" s="169"/>
      <c r="CS93" s="169"/>
      <c r="CT93" s="169"/>
      <c r="CU93" s="169"/>
      <c r="CV93" s="169"/>
      <c r="CW93" s="169"/>
      <c r="CX93" s="169"/>
      <c r="CY93" s="169"/>
      <c r="CZ93" s="169"/>
      <c r="DA93" s="169"/>
      <c r="DB93" s="169"/>
      <c r="DC93" s="169"/>
      <c r="DD93" s="30"/>
      <c r="DE93" s="104"/>
      <c r="DF93" s="29"/>
    </row>
    <row r="94" spans="1:110" ht="5.0999999999999996" customHeight="1" x14ac:dyDescent="0.25">
      <c r="A94" s="104"/>
      <c r="B94" s="30"/>
      <c r="C94" s="34"/>
      <c r="D94" s="34"/>
      <c r="E94" s="186"/>
      <c r="F94" s="186"/>
      <c r="G94" s="186"/>
      <c r="H94" s="186"/>
      <c r="I94" s="186"/>
      <c r="J94" s="186"/>
      <c r="K94" s="186"/>
      <c r="L94" s="186"/>
      <c r="M94" s="186"/>
      <c r="N94" s="186"/>
      <c r="O94" s="186"/>
      <c r="P94" s="186"/>
      <c r="Q94" s="186"/>
      <c r="R94" s="186"/>
      <c r="S94" s="186"/>
      <c r="T94" s="186"/>
      <c r="U94" s="186"/>
      <c r="V94" s="186"/>
      <c r="W94" s="186"/>
      <c r="X94" s="186"/>
      <c r="Y94" s="186"/>
      <c r="Z94" s="186"/>
      <c r="AA94" s="186"/>
      <c r="AB94" s="186"/>
      <c r="AC94" s="186"/>
      <c r="AD94" s="186"/>
      <c r="AE94" s="186"/>
      <c r="AF94" s="186"/>
      <c r="AG94" s="186"/>
      <c r="AH94" s="186"/>
      <c r="AI94" s="186"/>
      <c r="AJ94" s="186"/>
      <c r="AK94" s="186"/>
      <c r="AL94" s="34"/>
      <c r="AM94" s="34"/>
      <c r="AN94" s="34"/>
      <c r="AO94" s="187"/>
      <c r="AP94" s="187"/>
      <c r="AQ94" s="187"/>
      <c r="AR94" s="187"/>
      <c r="AS94" s="187"/>
      <c r="AT94" s="187"/>
      <c r="AU94" s="187"/>
      <c r="AV94" s="187"/>
      <c r="AW94" s="187"/>
      <c r="AX94" s="187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40"/>
      <c r="BV94" s="40"/>
      <c r="BW94" s="169"/>
      <c r="BX94" s="169"/>
      <c r="BY94" s="169"/>
      <c r="BZ94" s="169"/>
      <c r="CA94" s="169"/>
      <c r="CB94" s="169"/>
      <c r="CC94" s="169"/>
      <c r="CD94" s="169"/>
      <c r="CE94" s="169"/>
      <c r="CF94" s="169"/>
      <c r="CG94" s="169"/>
      <c r="CH94" s="169"/>
      <c r="CI94" s="169"/>
      <c r="CJ94" s="169"/>
      <c r="CK94" s="169"/>
      <c r="CL94" s="169"/>
      <c r="CM94" s="169"/>
      <c r="CN94" s="169"/>
      <c r="CO94" s="169"/>
      <c r="CP94" s="169"/>
      <c r="CQ94" s="169"/>
      <c r="CR94" s="169"/>
      <c r="CS94" s="169"/>
      <c r="CT94" s="169"/>
      <c r="CU94" s="169"/>
      <c r="CV94" s="169"/>
      <c r="CW94" s="169"/>
      <c r="CX94" s="169"/>
      <c r="CY94" s="169"/>
      <c r="CZ94" s="169"/>
      <c r="DA94" s="169"/>
      <c r="DB94" s="169"/>
      <c r="DC94" s="169"/>
      <c r="DD94" s="30"/>
      <c r="DE94" s="104"/>
      <c r="DF94" s="29"/>
    </row>
    <row r="95" spans="1:110" ht="5.0999999999999996" customHeight="1" x14ac:dyDescent="0.25">
      <c r="A95" s="104"/>
      <c r="B95" s="30"/>
      <c r="C95" s="34"/>
      <c r="D95" s="34"/>
      <c r="E95" s="186" t="str">
        <f>IF(LEN(TRIM('4 доп.сведения'!B35))=0," ",'4 доп.сведения'!B35)</f>
        <v xml:space="preserve"> </v>
      </c>
      <c r="F95" s="186"/>
      <c r="G95" s="186"/>
      <c r="H95" s="186"/>
      <c r="I95" s="186"/>
      <c r="J95" s="186"/>
      <c r="K95" s="186"/>
      <c r="L95" s="186"/>
      <c r="M95" s="186"/>
      <c r="N95" s="186"/>
      <c r="O95" s="186"/>
      <c r="P95" s="186"/>
      <c r="Q95" s="186"/>
      <c r="R95" s="186"/>
      <c r="S95" s="186"/>
      <c r="T95" s="186"/>
      <c r="U95" s="186"/>
      <c r="V95" s="186"/>
      <c r="W95" s="186"/>
      <c r="X95" s="186"/>
      <c r="Y95" s="186"/>
      <c r="Z95" s="186"/>
      <c r="AA95" s="186"/>
      <c r="AB95" s="186"/>
      <c r="AC95" s="186"/>
      <c r="AD95" s="186"/>
      <c r="AE95" s="186"/>
      <c r="AF95" s="186"/>
      <c r="AG95" s="186"/>
      <c r="AH95" s="186"/>
      <c r="AI95" s="186"/>
      <c r="AJ95" s="186"/>
      <c r="AK95" s="186"/>
      <c r="AL95" s="34"/>
      <c r="AM95" s="34"/>
      <c r="AN95" s="34"/>
      <c r="AO95" s="187" t="str">
        <f>IF(LEN(TRIM('4 доп.сведения'!C35))=0," ",'4 доп.сведения'!C35)</f>
        <v xml:space="preserve"> </v>
      </c>
      <c r="AP95" s="187"/>
      <c r="AQ95" s="187"/>
      <c r="AR95" s="187"/>
      <c r="AS95" s="187"/>
      <c r="AT95" s="187"/>
      <c r="AU95" s="187"/>
      <c r="AV95" s="187"/>
      <c r="AW95" s="187"/>
      <c r="AX95" s="187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41"/>
      <c r="BV95" s="41"/>
      <c r="BW95" s="169"/>
      <c r="BX95" s="169"/>
      <c r="BY95" s="169"/>
      <c r="BZ95" s="169"/>
      <c r="CA95" s="169"/>
      <c r="CB95" s="169"/>
      <c r="CC95" s="169"/>
      <c r="CD95" s="169"/>
      <c r="CE95" s="169"/>
      <c r="CF95" s="169"/>
      <c r="CG95" s="169"/>
      <c r="CH95" s="169"/>
      <c r="CI95" s="169"/>
      <c r="CJ95" s="169"/>
      <c r="CK95" s="169"/>
      <c r="CL95" s="169"/>
      <c r="CM95" s="169"/>
      <c r="CN95" s="169"/>
      <c r="CO95" s="169"/>
      <c r="CP95" s="169"/>
      <c r="CQ95" s="169"/>
      <c r="CR95" s="169"/>
      <c r="CS95" s="169"/>
      <c r="CT95" s="169"/>
      <c r="CU95" s="169"/>
      <c r="CV95" s="169"/>
      <c r="CW95" s="169"/>
      <c r="CX95" s="169"/>
      <c r="CY95" s="169"/>
      <c r="CZ95" s="169"/>
      <c r="DA95" s="169"/>
      <c r="DB95" s="169"/>
      <c r="DC95" s="169"/>
      <c r="DD95" s="30"/>
      <c r="DE95" s="104"/>
      <c r="DF95" s="29"/>
    </row>
    <row r="96" spans="1:110" ht="5.0999999999999996" customHeight="1" x14ac:dyDescent="0.25">
      <c r="A96" s="104"/>
      <c r="B96" s="30"/>
      <c r="C96" s="34"/>
      <c r="D96" s="34"/>
      <c r="E96" s="186"/>
      <c r="F96" s="186"/>
      <c r="G96" s="186"/>
      <c r="H96" s="186"/>
      <c r="I96" s="186"/>
      <c r="J96" s="186"/>
      <c r="K96" s="186"/>
      <c r="L96" s="186"/>
      <c r="M96" s="186"/>
      <c r="N96" s="186"/>
      <c r="O96" s="186"/>
      <c r="P96" s="186"/>
      <c r="Q96" s="186"/>
      <c r="R96" s="186"/>
      <c r="S96" s="186"/>
      <c r="T96" s="186"/>
      <c r="U96" s="186"/>
      <c r="V96" s="186"/>
      <c r="W96" s="186"/>
      <c r="X96" s="186"/>
      <c r="Y96" s="186"/>
      <c r="Z96" s="186"/>
      <c r="AA96" s="186"/>
      <c r="AB96" s="186"/>
      <c r="AC96" s="186"/>
      <c r="AD96" s="186"/>
      <c r="AE96" s="186"/>
      <c r="AF96" s="186"/>
      <c r="AG96" s="186"/>
      <c r="AH96" s="186"/>
      <c r="AI96" s="186"/>
      <c r="AJ96" s="186"/>
      <c r="AK96" s="186"/>
      <c r="AL96" s="34"/>
      <c r="AM96" s="34"/>
      <c r="AN96" s="34"/>
      <c r="AO96" s="187"/>
      <c r="AP96" s="187"/>
      <c r="AQ96" s="187"/>
      <c r="AR96" s="187"/>
      <c r="AS96" s="187"/>
      <c r="AT96" s="187"/>
      <c r="AU96" s="187"/>
      <c r="AV96" s="187"/>
      <c r="AW96" s="187"/>
      <c r="AX96" s="187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41"/>
      <c r="BV96" s="41"/>
      <c r="BW96" s="175"/>
      <c r="BX96" s="175"/>
      <c r="BY96" s="175"/>
      <c r="BZ96" s="175"/>
      <c r="CA96" s="175"/>
      <c r="CB96" s="175"/>
      <c r="CC96" s="175"/>
      <c r="CD96" s="175"/>
      <c r="CE96" s="175"/>
      <c r="CF96" s="175"/>
      <c r="CG96" s="175"/>
      <c r="CH96" s="175"/>
      <c r="CI96" s="175"/>
      <c r="CJ96" s="175"/>
      <c r="CK96" s="175"/>
      <c r="CL96" s="175"/>
      <c r="CM96" s="175"/>
      <c r="CN96" s="175"/>
      <c r="CO96" s="175"/>
      <c r="CP96" s="175"/>
      <c r="CQ96" s="175"/>
      <c r="CR96" s="175"/>
      <c r="CS96" s="175"/>
      <c r="CT96" s="175"/>
      <c r="CU96" s="175"/>
      <c r="CV96" s="175"/>
      <c r="CW96" s="175"/>
      <c r="CX96" s="175"/>
      <c r="CY96" s="175"/>
      <c r="CZ96" s="175"/>
      <c r="DA96" s="175"/>
      <c r="DB96" s="175"/>
      <c r="DC96" s="175"/>
      <c r="DD96" s="30"/>
      <c r="DE96" s="104"/>
      <c r="DF96" s="29"/>
    </row>
    <row r="97" spans="1:110" ht="5.0999999999999996" customHeight="1" x14ac:dyDescent="0.25">
      <c r="A97" s="104"/>
      <c r="B97" s="30"/>
      <c r="C97" s="34"/>
      <c r="D97" s="34"/>
      <c r="E97" s="186" t="str">
        <f>IF(LEN(TRIM('4 доп.сведения'!B36))=0," ",'4 доп.сведения'!B36)</f>
        <v xml:space="preserve"> </v>
      </c>
      <c r="F97" s="186"/>
      <c r="G97" s="186"/>
      <c r="H97" s="186"/>
      <c r="I97" s="186"/>
      <c r="J97" s="186"/>
      <c r="K97" s="186"/>
      <c r="L97" s="186"/>
      <c r="M97" s="186"/>
      <c r="N97" s="186"/>
      <c r="O97" s="186"/>
      <c r="P97" s="186"/>
      <c r="Q97" s="186"/>
      <c r="R97" s="186"/>
      <c r="S97" s="186"/>
      <c r="T97" s="186"/>
      <c r="U97" s="186"/>
      <c r="V97" s="186"/>
      <c r="W97" s="186"/>
      <c r="X97" s="186"/>
      <c r="Y97" s="186"/>
      <c r="Z97" s="186"/>
      <c r="AA97" s="186"/>
      <c r="AB97" s="186"/>
      <c r="AC97" s="186"/>
      <c r="AD97" s="186"/>
      <c r="AE97" s="186"/>
      <c r="AF97" s="186"/>
      <c r="AG97" s="186"/>
      <c r="AH97" s="186"/>
      <c r="AI97" s="186"/>
      <c r="AJ97" s="186"/>
      <c r="AK97" s="186"/>
      <c r="AL97" s="34"/>
      <c r="AM97" s="34"/>
      <c r="AN97" s="34"/>
      <c r="AO97" s="187" t="str">
        <f>IF(LEN(TRIM('4 доп.сведения'!C36))=0," ",'4 доп.сведения'!C36)</f>
        <v xml:space="preserve"> </v>
      </c>
      <c r="AP97" s="187"/>
      <c r="AQ97" s="187"/>
      <c r="AR97" s="187"/>
      <c r="AS97" s="187"/>
      <c r="AT97" s="187"/>
      <c r="AU97" s="187"/>
      <c r="AV97" s="187"/>
      <c r="AW97" s="187"/>
      <c r="AX97" s="187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41"/>
      <c r="BV97" s="41"/>
      <c r="BW97" s="175"/>
      <c r="BX97" s="175"/>
      <c r="BY97" s="175"/>
      <c r="BZ97" s="175"/>
      <c r="CA97" s="175"/>
      <c r="CB97" s="175"/>
      <c r="CC97" s="175"/>
      <c r="CD97" s="175"/>
      <c r="CE97" s="175"/>
      <c r="CF97" s="175"/>
      <c r="CG97" s="175"/>
      <c r="CH97" s="175"/>
      <c r="CI97" s="175"/>
      <c r="CJ97" s="175"/>
      <c r="CK97" s="175"/>
      <c r="CL97" s="175"/>
      <c r="CM97" s="175"/>
      <c r="CN97" s="175"/>
      <c r="CO97" s="175"/>
      <c r="CP97" s="175"/>
      <c r="CQ97" s="175"/>
      <c r="CR97" s="175"/>
      <c r="CS97" s="175"/>
      <c r="CT97" s="175"/>
      <c r="CU97" s="175"/>
      <c r="CV97" s="175"/>
      <c r="CW97" s="175"/>
      <c r="CX97" s="175"/>
      <c r="CY97" s="175"/>
      <c r="CZ97" s="175"/>
      <c r="DA97" s="175"/>
      <c r="DB97" s="175"/>
      <c r="DC97" s="175"/>
      <c r="DD97" s="30"/>
      <c r="DE97" s="104"/>
      <c r="DF97" s="29"/>
    </row>
    <row r="98" spans="1:110" ht="5.0999999999999996" customHeight="1" x14ac:dyDescent="0.25">
      <c r="A98" s="104"/>
      <c r="B98" s="30"/>
      <c r="C98" s="34"/>
      <c r="D98" s="34"/>
      <c r="E98" s="186"/>
      <c r="F98" s="186"/>
      <c r="G98" s="186"/>
      <c r="H98" s="186"/>
      <c r="I98" s="186"/>
      <c r="J98" s="186"/>
      <c r="K98" s="186"/>
      <c r="L98" s="186"/>
      <c r="M98" s="186"/>
      <c r="N98" s="186"/>
      <c r="O98" s="186"/>
      <c r="P98" s="186"/>
      <c r="Q98" s="186"/>
      <c r="R98" s="186"/>
      <c r="S98" s="186"/>
      <c r="T98" s="186"/>
      <c r="U98" s="186"/>
      <c r="V98" s="186"/>
      <c r="W98" s="186"/>
      <c r="X98" s="186"/>
      <c r="Y98" s="186"/>
      <c r="Z98" s="186"/>
      <c r="AA98" s="186"/>
      <c r="AB98" s="186"/>
      <c r="AC98" s="186"/>
      <c r="AD98" s="186"/>
      <c r="AE98" s="186"/>
      <c r="AF98" s="186"/>
      <c r="AG98" s="186"/>
      <c r="AH98" s="186"/>
      <c r="AI98" s="186"/>
      <c r="AJ98" s="186"/>
      <c r="AK98" s="186"/>
      <c r="AL98" s="34"/>
      <c r="AM98" s="34"/>
      <c r="AN98" s="34"/>
      <c r="AO98" s="187"/>
      <c r="AP98" s="187"/>
      <c r="AQ98" s="187"/>
      <c r="AR98" s="187"/>
      <c r="AS98" s="187"/>
      <c r="AT98" s="187"/>
      <c r="AU98" s="187"/>
      <c r="AV98" s="187"/>
      <c r="AW98" s="187"/>
      <c r="AX98" s="187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41"/>
      <c r="BV98" s="41"/>
      <c r="BW98" s="175"/>
      <c r="BX98" s="175"/>
      <c r="BY98" s="175"/>
      <c r="BZ98" s="175"/>
      <c r="CA98" s="175"/>
      <c r="CB98" s="175"/>
      <c r="CC98" s="175"/>
      <c r="CD98" s="175"/>
      <c r="CE98" s="175"/>
      <c r="CF98" s="175"/>
      <c r="CG98" s="175"/>
      <c r="CH98" s="175"/>
      <c r="CI98" s="175"/>
      <c r="CJ98" s="175"/>
      <c r="CK98" s="175"/>
      <c r="CL98" s="175"/>
      <c r="CM98" s="175"/>
      <c r="CN98" s="175"/>
      <c r="CO98" s="175"/>
      <c r="CP98" s="175"/>
      <c r="CQ98" s="175"/>
      <c r="CR98" s="175"/>
      <c r="CS98" s="175"/>
      <c r="CT98" s="175"/>
      <c r="CU98" s="175"/>
      <c r="CV98" s="175"/>
      <c r="CW98" s="175"/>
      <c r="CX98" s="175"/>
      <c r="CY98" s="175"/>
      <c r="CZ98" s="175"/>
      <c r="DA98" s="175"/>
      <c r="DB98" s="175"/>
      <c r="DC98" s="175"/>
      <c r="DD98" s="30"/>
      <c r="DE98" s="104"/>
      <c r="DF98" s="29"/>
    </row>
    <row r="99" spans="1:110" ht="5.0999999999999996" customHeight="1" x14ac:dyDescent="0.25">
      <c r="A99" s="104"/>
      <c r="B99" s="30"/>
      <c r="C99" s="34"/>
      <c r="D99" s="34"/>
      <c r="E99" s="186" t="str">
        <f>IF(LEN(TRIM('4 доп.сведения'!B37))=0," ",'4 доп.сведения'!B37)</f>
        <v xml:space="preserve"> </v>
      </c>
      <c r="F99" s="186"/>
      <c r="G99" s="186"/>
      <c r="H99" s="186"/>
      <c r="I99" s="186"/>
      <c r="J99" s="186"/>
      <c r="K99" s="186"/>
      <c r="L99" s="186"/>
      <c r="M99" s="186"/>
      <c r="N99" s="186"/>
      <c r="O99" s="186"/>
      <c r="P99" s="186"/>
      <c r="Q99" s="186"/>
      <c r="R99" s="186"/>
      <c r="S99" s="186"/>
      <c r="T99" s="186"/>
      <c r="U99" s="186"/>
      <c r="V99" s="186"/>
      <c r="W99" s="186"/>
      <c r="X99" s="186"/>
      <c r="Y99" s="186"/>
      <c r="Z99" s="186"/>
      <c r="AA99" s="186"/>
      <c r="AB99" s="186"/>
      <c r="AC99" s="186"/>
      <c r="AD99" s="186"/>
      <c r="AE99" s="186"/>
      <c r="AF99" s="186"/>
      <c r="AG99" s="186"/>
      <c r="AH99" s="186"/>
      <c r="AI99" s="186"/>
      <c r="AJ99" s="186"/>
      <c r="AK99" s="186"/>
      <c r="AL99" s="34"/>
      <c r="AM99" s="34"/>
      <c r="AN99" s="34"/>
      <c r="AO99" s="187" t="str">
        <f>IF(LEN(TRIM('4 доп.сведения'!C37))=0," ",'4 доп.сведения'!C37)</f>
        <v xml:space="preserve"> </v>
      </c>
      <c r="AP99" s="187"/>
      <c r="AQ99" s="187"/>
      <c r="AR99" s="187"/>
      <c r="AS99" s="187"/>
      <c r="AT99" s="187"/>
      <c r="AU99" s="187"/>
      <c r="AV99" s="187"/>
      <c r="AW99" s="187"/>
      <c r="AX99" s="187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41"/>
      <c r="BV99" s="41"/>
      <c r="BW99" s="175"/>
      <c r="BX99" s="175"/>
      <c r="BY99" s="175"/>
      <c r="BZ99" s="175"/>
      <c r="CA99" s="175"/>
      <c r="CB99" s="175"/>
      <c r="CC99" s="175"/>
      <c r="CD99" s="175"/>
      <c r="CE99" s="175"/>
      <c r="CF99" s="175"/>
      <c r="CG99" s="175"/>
      <c r="CH99" s="175"/>
      <c r="CI99" s="175"/>
      <c r="CJ99" s="175"/>
      <c r="CK99" s="175"/>
      <c r="CL99" s="175"/>
      <c r="CM99" s="175"/>
      <c r="CN99" s="175"/>
      <c r="CO99" s="175"/>
      <c r="CP99" s="175"/>
      <c r="CQ99" s="175"/>
      <c r="CR99" s="175"/>
      <c r="CS99" s="175"/>
      <c r="CT99" s="175"/>
      <c r="CU99" s="175"/>
      <c r="CV99" s="175"/>
      <c r="CW99" s="175"/>
      <c r="CX99" s="175"/>
      <c r="CY99" s="175"/>
      <c r="CZ99" s="175"/>
      <c r="DA99" s="175"/>
      <c r="DB99" s="175"/>
      <c r="DC99" s="175"/>
      <c r="DD99" s="30"/>
      <c r="DE99" s="104"/>
      <c r="DF99" s="29"/>
    </row>
    <row r="100" spans="1:110" ht="5.0999999999999996" customHeight="1" x14ac:dyDescent="0.25">
      <c r="A100" s="104"/>
      <c r="B100" s="30"/>
      <c r="C100" s="34"/>
      <c r="D100" s="34"/>
      <c r="E100" s="186"/>
      <c r="F100" s="186"/>
      <c r="G100" s="186"/>
      <c r="H100" s="186"/>
      <c r="I100" s="186"/>
      <c r="J100" s="186"/>
      <c r="K100" s="186"/>
      <c r="L100" s="186"/>
      <c r="M100" s="186"/>
      <c r="N100" s="186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  <c r="Y100" s="186"/>
      <c r="Z100" s="186"/>
      <c r="AA100" s="186"/>
      <c r="AB100" s="186"/>
      <c r="AC100" s="186"/>
      <c r="AD100" s="186"/>
      <c r="AE100" s="186"/>
      <c r="AF100" s="186"/>
      <c r="AG100" s="186"/>
      <c r="AH100" s="186"/>
      <c r="AI100" s="186"/>
      <c r="AJ100" s="186"/>
      <c r="AK100" s="186"/>
      <c r="AL100" s="34"/>
      <c r="AM100" s="34"/>
      <c r="AN100" s="34"/>
      <c r="AO100" s="187"/>
      <c r="AP100" s="187"/>
      <c r="AQ100" s="187"/>
      <c r="AR100" s="187"/>
      <c r="AS100" s="187"/>
      <c r="AT100" s="187"/>
      <c r="AU100" s="187"/>
      <c r="AV100" s="187"/>
      <c r="AW100" s="187"/>
      <c r="AX100" s="187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41"/>
      <c r="BV100" s="41"/>
      <c r="BW100" s="175"/>
      <c r="BX100" s="175"/>
      <c r="BY100" s="175"/>
      <c r="BZ100" s="175"/>
      <c r="CA100" s="175"/>
      <c r="CB100" s="175"/>
      <c r="CC100" s="175"/>
      <c r="CD100" s="175"/>
      <c r="CE100" s="175"/>
      <c r="CF100" s="175"/>
      <c r="CG100" s="175"/>
      <c r="CH100" s="175"/>
      <c r="CI100" s="175"/>
      <c r="CJ100" s="175"/>
      <c r="CK100" s="175"/>
      <c r="CL100" s="175"/>
      <c r="CM100" s="175"/>
      <c r="CN100" s="175"/>
      <c r="CO100" s="175"/>
      <c r="CP100" s="175"/>
      <c r="CQ100" s="175"/>
      <c r="CR100" s="175"/>
      <c r="CS100" s="175"/>
      <c r="CT100" s="175"/>
      <c r="CU100" s="175"/>
      <c r="CV100" s="175"/>
      <c r="CW100" s="175"/>
      <c r="CX100" s="175"/>
      <c r="CY100" s="175"/>
      <c r="CZ100" s="175"/>
      <c r="DA100" s="175"/>
      <c r="DB100" s="175"/>
      <c r="DC100" s="175"/>
      <c r="DD100" s="30"/>
      <c r="DE100" s="104"/>
      <c r="DF100" s="29"/>
    </row>
    <row r="101" spans="1:110" ht="5.0999999999999996" customHeight="1" x14ac:dyDescent="0.25">
      <c r="A101" s="104"/>
      <c r="B101" s="30"/>
      <c r="C101" s="34"/>
      <c r="D101" s="34"/>
      <c r="E101" s="186" t="str">
        <f>IF(LEN(TRIM('4 доп.сведения'!B38))=0," ",'4 доп.сведения'!B38)</f>
        <v xml:space="preserve"> </v>
      </c>
      <c r="F101" s="186"/>
      <c r="G101" s="186"/>
      <c r="H101" s="186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  <c r="AA101" s="186"/>
      <c r="AB101" s="186"/>
      <c r="AC101" s="186"/>
      <c r="AD101" s="186"/>
      <c r="AE101" s="186"/>
      <c r="AF101" s="186"/>
      <c r="AG101" s="186"/>
      <c r="AH101" s="186"/>
      <c r="AI101" s="186"/>
      <c r="AJ101" s="186"/>
      <c r="AK101" s="186"/>
      <c r="AL101" s="34"/>
      <c r="AM101" s="34"/>
      <c r="AN101" s="34"/>
      <c r="AO101" s="187" t="str">
        <f>IF(LEN(TRIM('4 доп.сведения'!C38))=0," ",'4 доп.сведения'!C38)</f>
        <v xml:space="preserve"> </v>
      </c>
      <c r="AP101" s="187"/>
      <c r="AQ101" s="187"/>
      <c r="AR101" s="187"/>
      <c r="AS101" s="187"/>
      <c r="AT101" s="187"/>
      <c r="AU101" s="187"/>
      <c r="AV101" s="187"/>
      <c r="AW101" s="187"/>
      <c r="AX101" s="187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41"/>
      <c r="BV101" s="41"/>
      <c r="BW101" s="175"/>
      <c r="BX101" s="175"/>
      <c r="BY101" s="175"/>
      <c r="BZ101" s="175"/>
      <c r="CA101" s="175"/>
      <c r="CB101" s="175"/>
      <c r="CC101" s="175"/>
      <c r="CD101" s="175"/>
      <c r="CE101" s="175"/>
      <c r="CF101" s="175"/>
      <c r="CG101" s="175"/>
      <c r="CH101" s="175"/>
      <c r="CI101" s="175"/>
      <c r="CJ101" s="175"/>
      <c r="CK101" s="175"/>
      <c r="CL101" s="175"/>
      <c r="CM101" s="175"/>
      <c r="CN101" s="175"/>
      <c r="CO101" s="175"/>
      <c r="CP101" s="175"/>
      <c r="CQ101" s="175"/>
      <c r="CR101" s="175"/>
      <c r="CS101" s="175"/>
      <c r="CT101" s="175"/>
      <c r="CU101" s="175"/>
      <c r="CV101" s="175"/>
      <c r="CW101" s="175"/>
      <c r="CX101" s="175"/>
      <c r="CY101" s="175"/>
      <c r="CZ101" s="175"/>
      <c r="DA101" s="175"/>
      <c r="DB101" s="175"/>
      <c r="DC101" s="175"/>
      <c r="DD101" s="30"/>
      <c r="DE101" s="104"/>
      <c r="DF101" s="29"/>
    </row>
    <row r="102" spans="1:110" ht="5.0999999999999996" customHeight="1" x14ac:dyDescent="0.25">
      <c r="A102" s="104"/>
      <c r="B102" s="30"/>
      <c r="C102" s="34"/>
      <c r="D102" s="34"/>
      <c r="E102" s="186"/>
      <c r="F102" s="186"/>
      <c r="G102" s="186"/>
      <c r="H102" s="186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  <c r="AA102" s="186"/>
      <c r="AB102" s="186"/>
      <c r="AC102" s="186"/>
      <c r="AD102" s="186"/>
      <c r="AE102" s="186"/>
      <c r="AF102" s="186"/>
      <c r="AG102" s="186"/>
      <c r="AH102" s="186"/>
      <c r="AI102" s="186"/>
      <c r="AJ102" s="186"/>
      <c r="AK102" s="186"/>
      <c r="AL102" s="34"/>
      <c r="AM102" s="34"/>
      <c r="AN102" s="34"/>
      <c r="AO102" s="187"/>
      <c r="AP102" s="187"/>
      <c r="AQ102" s="187"/>
      <c r="AR102" s="187"/>
      <c r="AS102" s="187"/>
      <c r="AT102" s="187"/>
      <c r="AU102" s="187"/>
      <c r="AV102" s="187"/>
      <c r="AW102" s="187"/>
      <c r="AX102" s="187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41"/>
      <c r="BV102" s="41"/>
      <c r="BW102" s="175"/>
      <c r="BX102" s="175"/>
      <c r="BY102" s="175"/>
      <c r="BZ102" s="175"/>
      <c r="CA102" s="175"/>
      <c r="CB102" s="175"/>
      <c r="CC102" s="175"/>
      <c r="CD102" s="175"/>
      <c r="CE102" s="175"/>
      <c r="CF102" s="175"/>
      <c r="CG102" s="175"/>
      <c r="CH102" s="175"/>
      <c r="CI102" s="175"/>
      <c r="CJ102" s="175"/>
      <c r="CK102" s="175"/>
      <c r="CL102" s="175"/>
      <c r="CM102" s="175"/>
      <c r="CN102" s="175"/>
      <c r="CO102" s="175"/>
      <c r="CP102" s="175"/>
      <c r="CQ102" s="175"/>
      <c r="CR102" s="175"/>
      <c r="CS102" s="175"/>
      <c r="CT102" s="175"/>
      <c r="CU102" s="175"/>
      <c r="CV102" s="175"/>
      <c r="CW102" s="175"/>
      <c r="CX102" s="175"/>
      <c r="CY102" s="175"/>
      <c r="CZ102" s="175"/>
      <c r="DA102" s="175"/>
      <c r="DB102" s="175"/>
      <c r="DC102" s="175"/>
      <c r="DD102" s="30"/>
      <c r="DE102" s="104"/>
      <c r="DF102" s="29"/>
    </row>
    <row r="103" spans="1:110" ht="5.0999999999999996" customHeight="1" x14ac:dyDescent="0.25">
      <c r="A103" s="104"/>
      <c r="B103" s="30"/>
      <c r="C103" s="34"/>
      <c r="D103" s="34"/>
      <c r="E103" s="186" t="str">
        <f>IF(LEN(TRIM('4 доп.сведения'!B39))=0," ",'4 доп.сведения'!B39)</f>
        <v xml:space="preserve"> </v>
      </c>
      <c r="F103" s="186"/>
      <c r="G103" s="186"/>
      <c r="H103" s="186"/>
      <c r="I103" s="186"/>
      <c r="J103" s="186"/>
      <c r="K103" s="186"/>
      <c r="L103" s="186"/>
      <c r="M103" s="186"/>
      <c r="N103" s="186"/>
      <c r="O103" s="186"/>
      <c r="P103" s="186"/>
      <c r="Q103" s="186"/>
      <c r="R103" s="186"/>
      <c r="S103" s="186"/>
      <c r="T103" s="186"/>
      <c r="U103" s="186"/>
      <c r="V103" s="186"/>
      <c r="W103" s="186"/>
      <c r="X103" s="186"/>
      <c r="Y103" s="186"/>
      <c r="Z103" s="186"/>
      <c r="AA103" s="186"/>
      <c r="AB103" s="186"/>
      <c r="AC103" s="186"/>
      <c r="AD103" s="186"/>
      <c r="AE103" s="186"/>
      <c r="AF103" s="186"/>
      <c r="AG103" s="186"/>
      <c r="AH103" s="186"/>
      <c r="AI103" s="186"/>
      <c r="AJ103" s="186"/>
      <c r="AK103" s="186"/>
      <c r="AL103" s="34"/>
      <c r="AM103" s="34"/>
      <c r="AN103" s="34"/>
      <c r="AO103" s="187" t="str">
        <f>IF(LEN(TRIM('4 доп.сведения'!C39))=0," ",'4 доп.сведения'!C39)</f>
        <v xml:space="preserve"> </v>
      </c>
      <c r="AP103" s="187"/>
      <c r="AQ103" s="187"/>
      <c r="AR103" s="187"/>
      <c r="AS103" s="187"/>
      <c r="AT103" s="187"/>
      <c r="AU103" s="187"/>
      <c r="AV103" s="187"/>
      <c r="AW103" s="187"/>
      <c r="AX103" s="187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41"/>
      <c r="BV103" s="41"/>
      <c r="BW103" s="175"/>
      <c r="BX103" s="175"/>
      <c r="BY103" s="175"/>
      <c r="BZ103" s="175"/>
      <c r="CA103" s="175"/>
      <c r="CB103" s="175"/>
      <c r="CC103" s="175"/>
      <c r="CD103" s="175"/>
      <c r="CE103" s="175"/>
      <c r="CF103" s="175"/>
      <c r="CG103" s="175"/>
      <c r="CH103" s="175"/>
      <c r="CI103" s="175"/>
      <c r="CJ103" s="175"/>
      <c r="CK103" s="175"/>
      <c r="CL103" s="175"/>
      <c r="CM103" s="175"/>
      <c r="CN103" s="175"/>
      <c r="CO103" s="175"/>
      <c r="CP103" s="175"/>
      <c r="CQ103" s="175"/>
      <c r="CR103" s="175"/>
      <c r="CS103" s="175"/>
      <c r="CT103" s="175"/>
      <c r="CU103" s="175"/>
      <c r="CV103" s="175"/>
      <c r="CW103" s="175"/>
      <c r="CX103" s="175"/>
      <c r="CY103" s="175"/>
      <c r="CZ103" s="175"/>
      <c r="DA103" s="175"/>
      <c r="DB103" s="175"/>
      <c r="DC103" s="175"/>
      <c r="DD103" s="30"/>
      <c r="DE103" s="104"/>
      <c r="DF103" s="29"/>
    </row>
    <row r="104" spans="1:110" ht="5.0999999999999996" customHeight="1" x14ac:dyDescent="0.25">
      <c r="A104" s="104"/>
      <c r="B104" s="30"/>
      <c r="C104" s="34"/>
      <c r="D104" s="34"/>
      <c r="E104" s="186"/>
      <c r="F104" s="186"/>
      <c r="G104" s="186"/>
      <c r="H104" s="186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  <c r="AA104" s="186"/>
      <c r="AB104" s="186"/>
      <c r="AC104" s="186"/>
      <c r="AD104" s="186"/>
      <c r="AE104" s="186"/>
      <c r="AF104" s="186"/>
      <c r="AG104" s="186"/>
      <c r="AH104" s="186"/>
      <c r="AI104" s="186"/>
      <c r="AJ104" s="186"/>
      <c r="AK104" s="186"/>
      <c r="AL104" s="34"/>
      <c r="AM104" s="34"/>
      <c r="AN104" s="34"/>
      <c r="AO104" s="187"/>
      <c r="AP104" s="187"/>
      <c r="AQ104" s="187"/>
      <c r="AR104" s="187"/>
      <c r="AS104" s="187"/>
      <c r="AT104" s="187"/>
      <c r="AU104" s="187"/>
      <c r="AV104" s="187"/>
      <c r="AW104" s="187"/>
      <c r="AX104" s="187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41"/>
      <c r="BV104" s="41"/>
      <c r="BW104" s="175"/>
      <c r="BX104" s="175"/>
      <c r="BY104" s="175"/>
      <c r="BZ104" s="175"/>
      <c r="CA104" s="175"/>
      <c r="CB104" s="175"/>
      <c r="CC104" s="175"/>
      <c r="CD104" s="175"/>
      <c r="CE104" s="175"/>
      <c r="CF104" s="175"/>
      <c r="CG104" s="175"/>
      <c r="CH104" s="175"/>
      <c r="CI104" s="175"/>
      <c r="CJ104" s="175"/>
      <c r="CK104" s="175"/>
      <c r="CL104" s="175"/>
      <c r="CM104" s="175"/>
      <c r="CN104" s="175"/>
      <c r="CO104" s="175"/>
      <c r="CP104" s="175"/>
      <c r="CQ104" s="175"/>
      <c r="CR104" s="175"/>
      <c r="CS104" s="175"/>
      <c r="CT104" s="175"/>
      <c r="CU104" s="175"/>
      <c r="CV104" s="175"/>
      <c r="CW104" s="175"/>
      <c r="CX104" s="175"/>
      <c r="CY104" s="175"/>
      <c r="CZ104" s="175"/>
      <c r="DA104" s="175"/>
      <c r="DB104" s="175"/>
      <c r="DC104" s="175"/>
      <c r="DD104" s="30"/>
      <c r="DE104" s="104"/>
      <c r="DF104" s="29"/>
    </row>
    <row r="105" spans="1:110" ht="5.0999999999999996" customHeight="1" x14ac:dyDescent="0.25">
      <c r="A105" s="104"/>
      <c r="B105" s="30"/>
      <c r="C105" s="30"/>
      <c r="D105" s="30"/>
      <c r="E105" s="186" t="str">
        <f>IF(LEN(TRIM('4 доп.сведения'!B40))=0," ",'4 доп.сведения'!B40)</f>
        <v xml:space="preserve"> </v>
      </c>
      <c r="F105" s="186"/>
      <c r="G105" s="186"/>
      <c r="H105" s="186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  <c r="AA105" s="186"/>
      <c r="AB105" s="186"/>
      <c r="AC105" s="186"/>
      <c r="AD105" s="186"/>
      <c r="AE105" s="186"/>
      <c r="AF105" s="186"/>
      <c r="AG105" s="186"/>
      <c r="AH105" s="186"/>
      <c r="AI105" s="186"/>
      <c r="AJ105" s="186"/>
      <c r="AK105" s="186"/>
      <c r="AL105" s="34"/>
      <c r="AM105" s="34"/>
      <c r="AN105" s="34"/>
      <c r="AO105" s="187" t="str">
        <f>IF(LEN(TRIM('4 доп.сведения'!C40))=0," ",'4 доп.сведения'!C40)</f>
        <v xml:space="preserve"> </v>
      </c>
      <c r="AP105" s="187"/>
      <c r="AQ105" s="187"/>
      <c r="AR105" s="187"/>
      <c r="AS105" s="187"/>
      <c r="AT105" s="187"/>
      <c r="AU105" s="187"/>
      <c r="AV105" s="187"/>
      <c r="AW105" s="187"/>
      <c r="AX105" s="187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41"/>
      <c r="BV105" s="41"/>
      <c r="BW105" s="175"/>
      <c r="BX105" s="175"/>
      <c r="BY105" s="175"/>
      <c r="BZ105" s="175"/>
      <c r="CA105" s="175"/>
      <c r="CB105" s="175"/>
      <c r="CC105" s="175"/>
      <c r="CD105" s="175"/>
      <c r="CE105" s="175"/>
      <c r="CF105" s="175"/>
      <c r="CG105" s="175"/>
      <c r="CH105" s="175"/>
      <c r="CI105" s="175"/>
      <c r="CJ105" s="175"/>
      <c r="CK105" s="175"/>
      <c r="CL105" s="175"/>
      <c r="CM105" s="175"/>
      <c r="CN105" s="175"/>
      <c r="CO105" s="175"/>
      <c r="CP105" s="175"/>
      <c r="CQ105" s="175"/>
      <c r="CR105" s="175"/>
      <c r="CS105" s="175"/>
      <c r="CT105" s="175"/>
      <c r="CU105" s="175"/>
      <c r="CV105" s="175"/>
      <c r="CW105" s="175"/>
      <c r="CX105" s="175"/>
      <c r="CY105" s="175"/>
      <c r="CZ105" s="175"/>
      <c r="DA105" s="175"/>
      <c r="DB105" s="175"/>
      <c r="DC105" s="175"/>
      <c r="DD105" s="30"/>
      <c r="DE105" s="104"/>
      <c r="DF105" s="29"/>
    </row>
    <row r="106" spans="1:110" ht="5.0999999999999996" customHeight="1" x14ac:dyDescent="0.25">
      <c r="A106" s="104"/>
      <c r="B106" s="30"/>
      <c r="C106" s="30"/>
      <c r="D106" s="30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  <c r="AA106" s="186"/>
      <c r="AB106" s="186"/>
      <c r="AC106" s="186"/>
      <c r="AD106" s="186"/>
      <c r="AE106" s="186"/>
      <c r="AF106" s="186"/>
      <c r="AG106" s="186"/>
      <c r="AH106" s="186"/>
      <c r="AI106" s="186"/>
      <c r="AJ106" s="186"/>
      <c r="AK106" s="186"/>
      <c r="AL106" s="34"/>
      <c r="AM106" s="34"/>
      <c r="AN106" s="34"/>
      <c r="AO106" s="187"/>
      <c r="AP106" s="187"/>
      <c r="AQ106" s="187"/>
      <c r="AR106" s="187"/>
      <c r="AS106" s="187"/>
      <c r="AT106" s="187"/>
      <c r="AU106" s="187"/>
      <c r="AV106" s="187"/>
      <c r="AW106" s="187"/>
      <c r="AX106" s="187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41"/>
      <c r="BV106" s="41"/>
      <c r="BW106" s="175" t="str">
        <f>IF(LEN(TRIM('1 Обладатель диплома'!B11))=0," ",'1 Обладатель диплома'!B11)</f>
        <v xml:space="preserve"> </v>
      </c>
      <c r="BX106" s="175"/>
      <c r="BY106" s="175"/>
      <c r="BZ106" s="175"/>
      <c r="CA106" s="175"/>
      <c r="CB106" s="175"/>
      <c r="CC106" s="175"/>
      <c r="CD106" s="175"/>
      <c r="CE106" s="175"/>
      <c r="CF106" s="175"/>
      <c r="CG106" s="175"/>
      <c r="CH106" s="175"/>
      <c r="CI106" s="175"/>
      <c r="CJ106" s="175"/>
      <c r="CK106" s="175"/>
      <c r="CL106" s="175"/>
      <c r="CM106" s="175"/>
      <c r="CN106" s="175"/>
      <c r="CO106" s="175"/>
      <c r="CP106" s="175"/>
      <c r="CQ106" s="175"/>
      <c r="CR106" s="175"/>
      <c r="CS106" s="175"/>
      <c r="CT106" s="175"/>
      <c r="CU106" s="175"/>
      <c r="CV106" s="175"/>
      <c r="CW106" s="175"/>
      <c r="CX106" s="175"/>
      <c r="CY106" s="175"/>
      <c r="CZ106" s="175"/>
      <c r="DA106" s="175"/>
      <c r="DB106" s="175"/>
      <c r="DC106" s="175"/>
      <c r="DD106" s="30"/>
      <c r="DE106" s="104"/>
      <c r="DF106" s="29"/>
    </row>
    <row r="107" spans="1:110" ht="5.0999999999999996" customHeight="1" x14ac:dyDescent="0.25">
      <c r="A107" s="104"/>
      <c r="B107" s="30"/>
      <c r="C107" s="30"/>
      <c r="D107" s="30"/>
      <c r="E107" s="186" t="str">
        <f>IF(LEN(TRIM('4 доп.сведения'!B41))=0," ",'4 доп.сведения'!B41)</f>
        <v xml:space="preserve"> </v>
      </c>
      <c r="F107" s="186"/>
      <c r="G107" s="186"/>
      <c r="H107" s="186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  <c r="U107" s="186"/>
      <c r="V107" s="186"/>
      <c r="W107" s="186"/>
      <c r="X107" s="186"/>
      <c r="Y107" s="186"/>
      <c r="Z107" s="186"/>
      <c r="AA107" s="186"/>
      <c r="AB107" s="186"/>
      <c r="AC107" s="186"/>
      <c r="AD107" s="186"/>
      <c r="AE107" s="186"/>
      <c r="AF107" s="186"/>
      <c r="AG107" s="186"/>
      <c r="AH107" s="186"/>
      <c r="AI107" s="186"/>
      <c r="AJ107" s="186"/>
      <c r="AK107" s="186"/>
      <c r="AL107" s="34"/>
      <c r="AM107" s="34"/>
      <c r="AN107" s="34"/>
      <c r="AO107" s="187" t="str">
        <f>IF(LEN(TRIM('4 доп.сведения'!C41))=0," ",'4 доп.сведения'!C41)</f>
        <v xml:space="preserve"> </v>
      </c>
      <c r="AP107" s="187"/>
      <c r="AQ107" s="187"/>
      <c r="AR107" s="187"/>
      <c r="AS107" s="187"/>
      <c r="AT107" s="187"/>
      <c r="AU107" s="187"/>
      <c r="AV107" s="187"/>
      <c r="AW107" s="187"/>
      <c r="AX107" s="187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41"/>
      <c r="BV107" s="41"/>
      <c r="BW107" s="175"/>
      <c r="BX107" s="175"/>
      <c r="BY107" s="175"/>
      <c r="BZ107" s="175"/>
      <c r="CA107" s="175"/>
      <c r="CB107" s="175"/>
      <c r="CC107" s="175"/>
      <c r="CD107" s="175"/>
      <c r="CE107" s="175"/>
      <c r="CF107" s="175"/>
      <c r="CG107" s="175"/>
      <c r="CH107" s="175"/>
      <c r="CI107" s="175"/>
      <c r="CJ107" s="175"/>
      <c r="CK107" s="175"/>
      <c r="CL107" s="175"/>
      <c r="CM107" s="175"/>
      <c r="CN107" s="175"/>
      <c r="CO107" s="175"/>
      <c r="CP107" s="175"/>
      <c r="CQ107" s="175"/>
      <c r="CR107" s="175"/>
      <c r="CS107" s="175"/>
      <c r="CT107" s="175"/>
      <c r="CU107" s="175"/>
      <c r="CV107" s="175"/>
      <c r="CW107" s="175"/>
      <c r="CX107" s="175"/>
      <c r="CY107" s="175"/>
      <c r="CZ107" s="175"/>
      <c r="DA107" s="175"/>
      <c r="DB107" s="175"/>
      <c r="DC107" s="175"/>
      <c r="DD107" s="30"/>
      <c r="DE107" s="104"/>
      <c r="DF107" s="29"/>
    </row>
    <row r="108" spans="1:110" ht="5.0999999999999996" customHeight="1" x14ac:dyDescent="0.25">
      <c r="A108" s="104"/>
      <c r="B108" s="30"/>
      <c r="C108" s="30"/>
      <c r="D108" s="30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86"/>
      <c r="AA108" s="186"/>
      <c r="AB108" s="186"/>
      <c r="AC108" s="186"/>
      <c r="AD108" s="186"/>
      <c r="AE108" s="186"/>
      <c r="AF108" s="186"/>
      <c r="AG108" s="186"/>
      <c r="AH108" s="186"/>
      <c r="AI108" s="186"/>
      <c r="AJ108" s="186"/>
      <c r="AK108" s="186"/>
      <c r="AL108" s="34"/>
      <c r="AM108" s="34"/>
      <c r="AN108" s="34"/>
      <c r="AO108" s="187"/>
      <c r="AP108" s="187"/>
      <c r="AQ108" s="187"/>
      <c r="AR108" s="187"/>
      <c r="AS108" s="187"/>
      <c r="AT108" s="187"/>
      <c r="AU108" s="187"/>
      <c r="AV108" s="187"/>
      <c r="AW108" s="187"/>
      <c r="AX108" s="187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41"/>
      <c r="BV108" s="41"/>
      <c r="BW108" s="175"/>
      <c r="BX108" s="175"/>
      <c r="BY108" s="175"/>
      <c r="BZ108" s="175"/>
      <c r="CA108" s="175"/>
      <c r="CB108" s="175"/>
      <c r="CC108" s="175"/>
      <c r="CD108" s="175"/>
      <c r="CE108" s="175"/>
      <c r="CF108" s="175"/>
      <c r="CG108" s="175"/>
      <c r="CH108" s="175"/>
      <c r="CI108" s="175"/>
      <c r="CJ108" s="175"/>
      <c r="CK108" s="175"/>
      <c r="CL108" s="175"/>
      <c r="CM108" s="175"/>
      <c r="CN108" s="175"/>
      <c r="CO108" s="175"/>
      <c r="CP108" s="175"/>
      <c r="CQ108" s="175"/>
      <c r="CR108" s="175"/>
      <c r="CS108" s="175"/>
      <c r="CT108" s="175"/>
      <c r="CU108" s="175"/>
      <c r="CV108" s="175"/>
      <c r="CW108" s="175"/>
      <c r="CX108" s="175"/>
      <c r="CY108" s="175"/>
      <c r="CZ108" s="175"/>
      <c r="DA108" s="175"/>
      <c r="DB108" s="175"/>
      <c r="DC108" s="175"/>
      <c r="DD108" s="30"/>
      <c r="DE108" s="104"/>
      <c r="DF108" s="29"/>
    </row>
    <row r="109" spans="1:110" ht="5.0999999999999996" customHeight="1" x14ac:dyDescent="0.25">
      <c r="A109" s="104"/>
      <c r="B109" s="30"/>
      <c r="C109" s="30"/>
      <c r="D109" s="30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41"/>
      <c r="BV109" s="41"/>
      <c r="BW109" s="175"/>
      <c r="BX109" s="175"/>
      <c r="BY109" s="175"/>
      <c r="BZ109" s="175"/>
      <c r="CA109" s="175"/>
      <c r="CB109" s="175"/>
      <c r="CC109" s="175"/>
      <c r="CD109" s="175"/>
      <c r="CE109" s="175"/>
      <c r="CF109" s="175"/>
      <c r="CG109" s="175"/>
      <c r="CH109" s="175"/>
      <c r="CI109" s="175"/>
      <c r="CJ109" s="175"/>
      <c r="CK109" s="175"/>
      <c r="CL109" s="175"/>
      <c r="CM109" s="175"/>
      <c r="CN109" s="175"/>
      <c r="CO109" s="175"/>
      <c r="CP109" s="175"/>
      <c r="CQ109" s="175"/>
      <c r="CR109" s="175"/>
      <c r="CS109" s="175"/>
      <c r="CT109" s="175"/>
      <c r="CU109" s="175"/>
      <c r="CV109" s="175"/>
      <c r="CW109" s="175"/>
      <c r="CX109" s="175"/>
      <c r="CY109" s="175"/>
      <c r="CZ109" s="175"/>
      <c r="DA109" s="175"/>
      <c r="DB109" s="175"/>
      <c r="DC109" s="175"/>
      <c r="DD109" s="30"/>
      <c r="DE109" s="104"/>
      <c r="DF109" s="29"/>
    </row>
    <row r="110" spans="1:110" ht="5.0999999999999996" customHeight="1" x14ac:dyDescent="0.25">
      <c r="A110" s="104"/>
      <c r="B110" s="30"/>
      <c r="C110" s="30"/>
      <c r="D110" s="30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41"/>
      <c r="BV110" s="41"/>
      <c r="BW110" s="175" t="str">
        <f>IF(LEN(TRIM('1 Обладатель диплома'!B14))=0," ",'1 Обладатель диплома'!B14)</f>
        <v xml:space="preserve"> </v>
      </c>
      <c r="BX110" s="175"/>
      <c r="BY110" s="175"/>
      <c r="BZ110" s="175"/>
      <c r="CA110" s="175"/>
      <c r="CB110" s="175"/>
      <c r="CC110" s="175"/>
      <c r="CD110" s="175"/>
      <c r="CE110" s="175"/>
      <c r="CF110" s="175"/>
      <c r="CG110" s="175"/>
      <c r="CH110" s="175"/>
      <c r="CI110" s="175"/>
      <c r="CJ110" s="175"/>
      <c r="CK110" s="175"/>
      <c r="CL110" s="175"/>
      <c r="CM110" s="175"/>
      <c r="CN110" s="175"/>
      <c r="CO110" s="175"/>
      <c r="CP110" s="175"/>
      <c r="CQ110" s="175"/>
      <c r="CR110" s="175"/>
      <c r="CS110" s="175"/>
      <c r="CT110" s="175"/>
      <c r="CU110" s="175"/>
      <c r="CV110" s="175"/>
      <c r="CW110" s="175"/>
      <c r="CX110" s="175"/>
      <c r="CY110" s="175"/>
      <c r="CZ110" s="175"/>
      <c r="DA110" s="175"/>
      <c r="DB110" s="175"/>
      <c r="DC110" s="175"/>
      <c r="DD110" s="30"/>
      <c r="DE110" s="104"/>
      <c r="DF110" s="29"/>
    </row>
    <row r="111" spans="1:110" ht="5.0999999999999996" customHeight="1" x14ac:dyDescent="0.25">
      <c r="A111" s="104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108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41"/>
      <c r="BV111" s="41"/>
      <c r="BW111" s="175"/>
      <c r="BX111" s="175"/>
      <c r="BY111" s="175"/>
      <c r="BZ111" s="175"/>
      <c r="CA111" s="175"/>
      <c r="CB111" s="175"/>
      <c r="CC111" s="175"/>
      <c r="CD111" s="175"/>
      <c r="CE111" s="175"/>
      <c r="CF111" s="175"/>
      <c r="CG111" s="175"/>
      <c r="CH111" s="175"/>
      <c r="CI111" s="175"/>
      <c r="CJ111" s="175"/>
      <c r="CK111" s="175"/>
      <c r="CL111" s="175"/>
      <c r="CM111" s="175"/>
      <c r="CN111" s="175"/>
      <c r="CO111" s="175"/>
      <c r="CP111" s="175"/>
      <c r="CQ111" s="175"/>
      <c r="CR111" s="175"/>
      <c r="CS111" s="175"/>
      <c r="CT111" s="175"/>
      <c r="CU111" s="175"/>
      <c r="CV111" s="175"/>
      <c r="CW111" s="175"/>
      <c r="CX111" s="175"/>
      <c r="CY111" s="175"/>
      <c r="CZ111" s="175"/>
      <c r="DA111" s="175"/>
      <c r="DB111" s="175"/>
      <c r="DC111" s="175"/>
      <c r="DD111" s="30"/>
      <c r="DE111" s="104"/>
      <c r="DF111" s="29"/>
    </row>
    <row r="112" spans="1:110" ht="5.0999999999999996" customHeight="1" x14ac:dyDescent="0.25">
      <c r="A112" s="104"/>
      <c r="B112" s="30"/>
      <c r="C112" s="30"/>
      <c r="D112" s="30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41"/>
      <c r="BV112" s="41"/>
      <c r="BW112" s="175"/>
      <c r="BX112" s="175"/>
      <c r="BY112" s="175"/>
      <c r="BZ112" s="175"/>
      <c r="CA112" s="175"/>
      <c r="CB112" s="175"/>
      <c r="CC112" s="175"/>
      <c r="CD112" s="175"/>
      <c r="CE112" s="175"/>
      <c r="CF112" s="175"/>
      <c r="CG112" s="175"/>
      <c r="CH112" s="175"/>
      <c r="CI112" s="175"/>
      <c r="CJ112" s="175"/>
      <c r="CK112" s="175"/>
      <c r="CL112" s="175"/>
      <c r="CM112" s="175"/>
      <c r="CN112" s="175"/>
      <c r="CO112" s="175"/>
      <c r="CP112" s="175"/>
      <c r="CQ112" s="175"/>
      <c r="CR112" s="175"/>
      <c r="CS112" s="175"/>
      <c r="CT112" s="175"/>
      <c r="CU112" s="175"/>
      <c r="CV112" s="175"/>
      <c r="CW112" s="175"/>
      <c r="CX112" s="175"/>
      <c r="CY112" s="175"/>
      <c r="CZ112" s="175"/>
      <c r="DA112" s="175"/>
      <c r="DB112" s="175"/>
      <c r="DC112" s="175"/>
      <c r="DD112" s="30"/>
      <c r="DE112" s="104"/>
      <c r="DF112" s="29"/>
    </row>
    <row r="113" spans="1:110" ht="5.0999999999999996" customHeight="1" x14ac:dyDescent="0.25">
      <c r="A113" s="104"/>
      <c r="B113" s="30"/>
      <c r="C113" s="43"/>
      <c r="D113" s="43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41"/>
      <c r="BV113" s="41"/>
      <c r="BW113" s="175"/>
      <c r="BX113" s="175"/>
      <c r="BY113" s="175"/>
      <c r="BZ113" s="175"/>
      <c r="CA113" s="175"/>
      <c r="CB113" s="175"/>
      <c r="CC113" s="175"/>
      <c r="CD113" s="175"/>
      <c r="CE113" s="175"/>
      <c r="CF113" s="175"/>
      <c r="CG113" s="175"/>
      <c r="CH113" s="175"/>
      <c r="CI113" s="175"/>
      <c r="CJ113" s="175"/>
      <c r="CK113" s="175"/>
      <c r="CL113" s="175"/>
      <c r="CM113" s="175"/>
      <c r="CN113" s="175"/>
      <c r="CO113" s="175"/>
      <c r="CP113" s="175"/>
      <c r="CQ113" s="175"/>
      <c r="CR113" s="175"/>
      <c r="CS113" s="175"/>
      <c r="CT113" s="175"/>
      <c r="CU113" s="175"/>
      <c r="CV113" s="175"/>
      <c r="CW113" s="175"/>
      <c r="CX113" s="175"/>
      <c r="CY113" s="175"/>
      <c r="CZ113" s="175"/>
      <c r="DA113" s="175"/>
      <c r="DB113" s="175"/>
      <c r="DC113" s="175"/>
      <c r="DD113" s="30"/>
      <c r="DE113" s="104"/>
      <c r="DF113" s="29"/>
    </row>
    <row r="114" spans="1:110" ht="5.0999999999999996" customHeight="1" x14ac:dyDescent="0.25">
      <c r="A114" s="104"/>
      <c r="B114" s="30"/>
      <c r="C114" s="43"/>
      <c r="D114" s="43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41"/>
      <c r="BV114" s="41"/>
      <c r="BW114" s="175"/>
      <c r="BX114" s="175"/>
      <c r="BY114" s="175"/>
      <c r="BZ114" s="175"/>
      <c r="CA114" s="175"/>
      <c r="CB114" s="175"/>
      <c r="CC114" s="175"/>
      <c r="CD114" s="175"/>
      <c r="CE114" s="175"/>
      <c r="CF114" s="175"/>
      <c r="CG114" s="175"/>
      <c r="CH114" s="175"/>
      <c r="CI114" s="175"/>
      <c r="CJ114" s="175"/>
      <c r="CK114" s="175"/>
      <c r="CL114" s="175"/>
      <c r="CM114" s="175"/>
      <c r="CN114" s="175"/>
      <c r="CO114" s="175"/>
      <c r="CP114" s="175"/>
      <c r="CQ114" s="175"/>
      <c r="CR114" s="175"/>
      <c r="CS114" s="175"/>
      <c r="CT114" s="175"/>
      <c r="CU114" s="175"/>
      <c r="CV114" s="175"/>
      <c r="CW114" s="175"/>
      <c r="CX114" s="175"/>
      <c r="CY114" s="175"/>
      <c r="CZ114" s="175"/>
      <c r="DA114" s="175"/>
      <c r="DB114" s="175"/>
      <c r="DC114" s="175"/>
      <c r="DD114" s="30"/>
      <c r="DE114" s="104"/>
      <c r="DF114" s="29"/>
    </row>
    <row r="115" spans="1:110" ht="5.0999999999999996" customHeight="1" x14ac:dyDescent="0.25">
      <c r="A115" s="104"/>
      <c r="B115" s="30"/>
      <c r="C115" s="43"/>
      <c r="D115" s="43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  <c r="AX115" s="101"/>
      <c r="AY115" s="101"/>
      <c r="AZ115" s="42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41"/>
      <c r="BV115" s="41"/>
      <c r="BW115" s="175"/>
      <c r="BX115" s="175"/>
      <c r="BY115" s="175"/>
      <c r="BZ115" s="175"/>
      <c r="CA115" s="175"/>
      <c r="CB115" s="175"/>
      <c r="CC115" s="175"/>
      <c r="CD115" s="175"/>
      <c r="CE115" s="175"/>
      <c r="CF115" s="175"/>
      <c r="CG115" s="175"/>
      <c r="CH115" s="175"/>
      <c r="CI115" s="175"/>
      <c r="CJ115" s="175"/>
      <c r="CK115" s="175"/>
      <c r="CL115" s="175"/>
      <c r="CM115" s="175"/>
      <c r="CN115" s="175"/>
      <c r="CO115" s="175"/>
      <c r="CP115" s="175"/>
      <c r="CQ115" s="175"/>
      <c r="CR115" s="175"/>
      <c r="CS115" s="175"/>
      <c r="CT115" s="175"/>
      <c r="CU115" s="175"/>
      <c r="CV115" s="175"/>
      <c r="CW115" s="175"/>
      <c r="CX115" s="175"/>
      <c r="CY115" s="175"/>
      <c r="CZ115" s="175"/>
      <c r="DA115" s="175"/>
      <c r="DB115" s="175"/>
      <c r="DC115" s="175"/>
      <c r="DD115" s="30"/>
      <c r="DE115" s="104"/>
      <c r="DF115" s="29"/>
    </row>
    <row r="116" spans="1:110" ht="5.0999999999999996" customHeight="1" x14ac:dyDescent="0.25">
      <c r="A116" s="104"/>
      <c r="B116" s="30"/>
      <c r="C116" s="43"/>
      <c r="D116" s="43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  <c r="AL116" s="101"/>
      <c r="AM116" s="101"/>
      <c r="AN116" s="101"/>
      <c r="AO116" s="101"/>
      <c r="AP116" s="101"/>
      <c r="AQ116" s="101"/>
      <c r="AR116" s="101"/>
      <c r="AS116" s="101"/>
      <c r="AT116" s="101"/>
      <c r="AU116" s="101"/>
      <c r="AV116" s="101"/>
      <c r="AW116" s="101"/>
      <c r="AX116" s="101"/>
      <c r="AY116" s="101"/>
      <c r="AZ116" s="42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41"/>
      <c r="BV116" s="41"/>
      <c r="BW116" s="175"/>
      <c r="BX116" s="175"/>
      <c r="BY116" s="175"/>
      <c r="BZ116" s="175"/>
      <c r="CA116" s="175"/>
      <c r="CB116" s="175"/>
      <c r="CC116" s="175"/>
      <c r="CD116" s="175"/>
      <c r="CE116" s="175"/>
      <c r="CF116" s="175"/>
      <c r="CG116" s="175"/>
      <c r="CH116" s="175"/>
      <c r="CI116" s="175"/>
      <c r="CJ116" s="175"/>
      <c r="CK116" s="175"/>
      <c r="CL116" s="175"/>
      <c r="CM116" s="175"/>
      <c r="CN116" s="175"/>
      <c r="CO116" s="175"/>
      <c r="CP116" s="175"/>
      <c r="CQ116" s="175"/>
      <c r="CR116" s="175"/>
      <c r="CS116" s="175"/>
      <c r="CT116" s="175"/>
      <c r="CU116" s="175"/>
      <c r="CV116" s="175"/>
      <c r="CW116" s="175"/>
      <c r="CX116" s="175"/>
      <c r="CY116" s="175"/>
      <c r="CZ116" s="175"/>
      <c r="DA116" s="175"/>
      <c r="DB116" s="175"/>
      <c r="DC116" s="175"/>
      <c r="DD116" s="30"/>
      <c r="DE116" s="104"/>
      <c r="DF116" s="29"/>
    </row>
    <row r="117" spans="1:110" ht="5.0999999999999996" customHeight="1" x14ac:dyDescent="0.25">
      <c r="A117" s="104"/>
      <c r="B117" s="30"/>
      <c r="C117" s="43"/>
      <c r="D117" s="43"/>
      <c r="E117" s="186" t="str">
        <f>IF(LEN(TRIM('5 Доп сведения'!C3))=0," ",'5 Доп сведения'!C3)</f>
        <v>Направленность (профиль) образовательной программы: Психология образования</v>
      </c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186"/>
      <c r="V117" s="186"/>
      <c r="W117" s="186"/>
      <c r="X117" s="186"/>
      <c r="Y117" s="186"/>
      <c r="Z117" s="186"/>
      <c r="AA117" s="186"/>
      <c r="AB117" s="186"/>
      <c r="AC117" s="186"/>
      <c r="AD117" s="186"/>
      <c r="AE117" s="186"/>
      <c r="AF117" s="186"/>
      <c r="AG117" s="186"/>
      <c r="AH117" s="186"/>
      <c r="AI117" s="186"/>
      <c r="AJ117" s="186"/>
      <c r="AK117" s="186"/>
      <c r="AL117" s="186"/>
      <c r="AM117" s="186"/>
      <c r="AN117" s="186"/>
      <c r="AO117" s="186"/>
      <c r="AP117" s="186"/>
      <c r="AQ117" s="186"/>
      <c r="AR117" s="186"/>
      <c r="AS117" s="186"/>
      <c r="AT117" s="186"/>
      <c r="AU117" s="186"/>
      <c r="AV117" s="186"/>
      <c r="AW117" s="186"/>
      <c r="AX117" s="186"/>
      <c r="AY117" s="186"/>
      <c r="AZ117" s="42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41"/>
      <c r="BV117" s="41"/>
      <c r="BW117" s="175"/>
      <c r="BX117" s="175"/>
      <c r="BY117" s="175"/>
      <c r="BZ117" s="175"/>
      <c r="CA117" s="175"/>
      <c r="CB117" s="175"/>
      <c r="CC117" s="175"/>
      <c r="CD117" s="175"/>
      <c r="CE117" s="175"/>
      <c r="CF117" s="175"/>
      <c r="CG117" s="175"/>
      <c r="CH117" s="175"/>
      <c r="CI117" s="175"/>
      <c r="CJ117" s="175"/>
      <c r="CK117" s="175"/>
      <c r="CL117" s="175"/>
      <c r="CM117" s="175"/>
      <c r="CN117" s="175"/>
      <c r="CO117" s="175"/>
      <c r="CP117" s="175"/>
      <c r="CQ117" s="175"/>
      <c r="CR117" s="175"/>
      <c r="CS117" s="175"/>
      <c r="CT117" s="175"/>
      <c r="CU117" s="175"/>
      <c r="CV117" s="175"/>
      <c r="CW117" s="175"/>
      <c r="CX117" s="175"/>
      <c r="CY117" s="175"/>
      <c r="CZ117" s="175"/>
      <c r="DA117" s="175"/>
      <c r="DB117" s="175"/>
      <c r="DC117" s="175"/>
      <c r="DD117" s="30"/>
      <c r="DE117" s="104"/>
      <c r="DF117" s="29"/>
    </row>
    <row r="118" spans="1:110" ht="5.0999999999999996" customHeight="1" x14ac:dyDescent="0.25">
      <c r="A118" s="104"/>
      <c r="B118" s="30"/>
      <c r="C118" s="43"/>
      <c r="D118" s="43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186"/>
      <c r="V118" s="186"/>
      <c r="W118" s="186"/>
      <c r="X118" s="186"/>
      <c r="Y118" s="186"/>
      <c r="Z118" s="186"/>
      <c r="AA118" s="186"/>
      <c r="AB118" s="186"/>
      <c r="AC118" s="186"/>
      <c r="AD118" s="186"/>
      <c r="AE118" s="186"/>
      <c r="AF118" s="186"/>
      <c r="AG118" s="186"/>
      <c r="AH118" s="186"/>
      <c r="AI118" s="186"/>
      <c r="AJ118" s="186"/>
      <c r="AK118" s="186"/>
      <c r="AL118" s="186"/>
      <c r="AM118" s="186"/>
      <c r="AN118" s="186"/>
      <c r="AO118" s="186"/>
      <c r="AP118" s="186"/>
      <c r="AQ118" s="186"/>
      <c r="AR118" s="186"/>
      <c r="AS118" s="186"/>
      <c r="AT118" s="186"/>
      <c r="AU118" s="186"/>
      <c r="AV118" s="186"/>
      <c r="AW118" s="186"/>
      <c r="AX118" s="186"/>
      <c r="AY118" s="186"/>
      <c r="AZ118" s="42"/>
      <c r="BA118" s="30"/>
      <c r="BB118" s="30"/>
      <c r="BC118" s="30"/>
      <c r="BD118" s="30"/>
      <c r="BE118" s="174" t="str">
        <f>IF(Диплом!B4 ="","",Диплом!B4)</f>
        <v/>
      </c>
      <c r="BF118" s="174"/>
      <c r="BG118" s="174"/>
      <c r="BH118" s="174"/>
      <c r="BI118" s="174"/>
      <c r="BJ118" s="174"/>
      <c r="BK118" s="174"/>
      <c r="BL118" s="174"/>
      <c r="BM118" s="174"/>
      <c r="BN118" s="174"/>
      <c r="BO118" s="174"/>
      <c r="BP118" s="174"/>
      <c r="BQ118" s="174"/>
      <c r="BR118" s="174"/>
      <c r="BS118" s="174"/>
      <c r="BT118" s="174"/>
      <c r="BU118" s="41"/>
      <c r="BV118" s="41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30"/>
      <c r="DE118" s="104"/>
      <c r="DF118" s="29"/>
    </row>
    <row r="119" spans="1:110" ht="5.0999999999999996" customHeight="1" x14ac:dyDescent="0.25">
      <c r="A119" s="104"/>
      <c r="B119" s="30"/>
      <c r="C119" s="43"/>
      <c r="D119" s="43"/>
      <c r="E119" s="186" t="str">
        <f>IF(LEN(TRIM('5 Доп сведения'!C4))=0," ",'5 Доп сведения'!C4)</f>
        <v>Форма обучения: очная</v>
      </c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  <c r="Y119" s="186"/>
      <c r="Z119" s="186"/>
      <c r="AA119" s="186"/>
      <c r="AB119" s="186"/>
      <c r="AC119" s="186"/>
      <c r="AD119" s="186"/>
      <c r="AE119" s="186"/>
      <c r="AF119" s="186"/>
      <c r="AG119" s="186"/>
      <c r="AH119" s="186"/>
      <c r="AI119" s="186"/>
      <c r="AJ119" s="186"/>
      <c r="AK119" s="186"/>
      <c r="AL119" s="186"/>
      <c r="AM119" s="186"/>
      <c r="AN119" s="186"/>
      <c r="AO119" s="186"/>
      <c r="AP119" s="186"/>
      <c r="AQ119" s="186"/>
      <c r="AR119" s="186"/>
      <c r="AS119" s="186"/>
      <c r="AT119" s="186"/>
      <c r="AU119" s="186"/>
      <c r="AV119" s="186"/>
      <c r="AW119" s="186"/>
      <c r="AX119" s="186"/>
      <c r="AY119" s="186"/>
      <c r="AZ119" s="42"/>
      <c r="BA119" s="30"/>
      <c r="BB119" s="30"/>
      <c r="BC119" s="30"/>
      <c r="BD119" s="30"/>
      <c r="BE119" s="174"/>
      <c r="BF119" s="174"/>
      <c r="BG119" s="174"/>
      <c r="BH119" s="174"/>
      <c r="BI119" s="174"/>
      <c r="BJ119" s="174"/>
      <c r="BK119" s="174"/>
      <c r="BL119" s="174"/>
      <c r="BM119" s="174"/>
      <c r="BN119" s="174"/>
      <c r="BO119" s="174"/>
      <c r="BP119" s="174"/>
      <c r="BQ119" s="174"/>
      <c r="BR119" s="174"/>
      <c r="BS119" s="174"/>
      <c r="BT119" s="174"/>
      <c r="BU119" s="41"/>
      <c r="BV119" s="41"/>
      <c r="BW119" s="175"/>
      <c r="BX119" s="175"/>
      <c r="BY119" s="175"/>
      <c r="BZ119" s="175"/>
      <c r="CA119" s="175"/>
      <c r="CB119" s="175"/>
      <c r="CC119" s="175"/>
      <c r="CD119" s="175"/>
      <c r="CE119" s="175"/>
      <c r="CF119" s="175"/>
      <c r="CG119" s="175"/>
      <c r="CH119" s="175"/>
      <c r="CI119" s="175"/>
      <c r="CJ119" s="175"/>
      <c r="CK119" s="175"/>
      <c r="CL119" s="175"/>
      <c r="CM119" s="175"/>
      <c r="CN119" s="175"/>
      <c r="CO119" s="175"/>
      <c r="CP119" s="175"/>
      <c r="CQ119" s="175"/>
      <c r="CR119" s="175"/>
      <c r="CS119" s="175"/>
      <c r="CT119" s="175"/>
      <c r="CU119" s="175"/>
      <c r="CV119" s="175"/>
      <c r="CW119" s="175"/>
      <c r="CX119" s="175"/>
      <c r="CY119" s="175"/>
      <c r="CZ119" s="175"/>
      <c r="DA119" s="175"/>
      <c r="DB119" s="175"/>
      <c r="DC119" s="175"/>
      <c r="DD119" s="30"/>
      <c r="DE119" s="104"/>
      <c r="DF119" s="29"/>
    </row>
    <row r="120" spans="1:110" ht="5.0999999999999996" customHeight="1" x14ac:dyDescent="0.25">
      <c r="A120" s="104"/>
      <c r="B120" s="30"/>
      <c r="C120" s="43"/>
      <c r="D120" s="43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  <c r="AA120" s="186"/>
      <c r="AB120" s="186"/>
      <c r="AC120" s="186"/>
      <c r="AD120" s="186"/>
      <c r="AE120" s="186"/>
      <c r="AF120" s="186"/>
      <c r="AG120" s="186"/>
      <c r="AH120" s="186"/>
      <c r="AI120" s="186"/>
      <c r="AJ120" s="186"/>
      <c r="AK120" s="186"/>
      <c r="AL120" s="186"/>
      <c r="AM120" s="186"/>
      <c r="AN120" s="186"/>
      <c r="AO120" s="186"/>
      <c r="AP120" s="186"/>
      <c r="AQ120" s="186"/>
      <c r="AR120" s="186"/>
      <c r="AS120" s="186"/>
      <c r="AT120" s="186"/>
      <c r="AU120" s="186"/>
      <c r="AV120" s="186"/>
      <c r="AW120" s="186"/>
      <c r="AX120" s="186"/>
      <c r="AY120" s="186"/>
      <c r="AZ120" s="42"/>
      <c r="BA120" s="30"/>
      <c r="BB120" s="30"/>
      <c r="BC120" s="30"/>
      <c r="BD120" s="30"/>
      <c r="BE120" s="174"/>
      <c r="BF120" s="174"/>
      <c r="BG120" s="174"/>
      <c r="BH120" s="174"/>
      <c r="BI120" s="174"/>
      <c r="BJ120" s="174"/>
      <c r="BK120" s="174"/>
      <c r="BL120" s="174"/>
      <c r="BM120" s="174"/>
      <c r="BN120" s="174"/>
      <c r="BO120" s="174"/>
      <c r="BP120" s="174"/>
      <c r="BQ120" s="174"/>
      <c r="BR120" s="174"/>
      <c r="BS120" s="174"/>
      <c r="BT120" s="174"/>
      <c r="BU120" s="41"/>
      <c r="BV120" s="41"/>
      <c r="BW120" s="175"/>
      <c r="BX120" s="175"/>
      <c r="BY120" s="175"/>
      <c r="BZ120" s="175"/>
      <c r="CA120" s="175"/>
      <c r="CB120" s="175"/>
      <c r="CC120" s="175"/>
      <c r="CD120" s="175"/>
      <c r="CE120" s="175"/>
      <c r="CF120" s="175"/>
      <c r="CG120" s="175"/>
      <c r="CH120" s="175"/>
      <c r="CI120" s="175"/>
      <c r="CJ120" s="175"/>
      <c r="CK120" s="175"/>
      <c r="CL120" s="175"/>
      <c r="CM120" s="175"/>
      <c r="CN120" s="175"/>
      <c r="CO120" s="175"/>
      <c r="CP120" s="175"/>
      <c r="CQ120" s="175"/>
      <c r="CR120" s="175"/>
      <c r="CS120" s="175"/>
      <c r="CT120" s="175"/>
      <c r="CU120" s="175"/>
      <c r="CV120" s="175"/>
      <c r="CW120" s="175"/>
      <c r="CX120" s="175"/>
      <c r="CY120" s="175"/>
      <c r="CZ120" s="175"/>
      <c r="DA120" s="175"/>
      <c r="DB120" s="175"/>
      <c r="DC120" s="175"/>
      <c r="DD120" s="30"/>
      <c r="DE120" s="104"/>
      <c r="DF120" s="29"/>
    </row>
    <row r="121" spans="1:110" ht="5.0999999999999996" customHeight="1" x14ac:dyDescent="0.25">
      <c r="A121" s="104"/>
      <c r="B121" s="30"/>
      <c r="C121" s="43"/>
      <c r="D121" s="43"/>
      <c r="E121" s="186" t="str">
        <f>IF(LEN(TRIM('5 Доп сведения'!C5))=0," ",'5 Доп сведения'!C5)</f>
        <v xml:space="preserve"> </v>
      </c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  <c r="AA121" s="186"/>
      <c r="AB121" s="186"/>
      <c r="AC121" s="186"/>
      <c r="AD121" s="186"/>
      <c r="AE121" s="186"/>
      <c r="AF121" s="186"/>
      <c r="AG121" s="186"/>
      <c r="AH121" s="186"/>
      <c r="AI121" s="186"/>
      <c r="AJ121" s="186"/>
      <c r="AK121" s="186"/>
      <c r="AL121" s="186"/>
      <c r="AM121" s="186"/>
      <c r="AN121" s="186"/>
      <c r="AO121" s="186"/>
      <c r="AP121" s="186"/>
      <c r="AQ121" s="186"/>
      <c r="AR121" s="186"/>
      <c r="AS121" s="186"/>
      <c r="AT121" s="186"/>
      <c r="AU121" s="186"/>
      <c r="AV121" s="186"/>
      <c r="AW121" s="186"/>
      <c r="AX121" s="186"/>
      <c r="AY121" s="186"/>
      <c r="AZ121" s="42"/>
      <c r="BA121" s="30"/>
      <c r="BB121" s="30"/>
      <c r="BC121" s="30"/>
      <c r="BD121" s="30"/>
      <c r="BE121" s="174"/>
      <c r="BF121" s="174"/>
      <c r="BG121" s="174"/>
      <c r="BH121" s="174"/>
      <c r="BI121" s="174"/>
      <c r="BJ121" s="174"/>
      <c r="BK121" s="174"/>
      <c r="BL121" s="174"/>
      <c r="BM121" s="174"/>
      <c r="BN121" s="174"/>
      <c r="BO121" s="174"/>
      <c r="BP121" s="174"/>
      <c r="BQ121" s="174"/>
      <c r="BR121" s="174"/>
      <c r="BS121" s="174"/>
      <c r="BT121" s="174"/>
      <c r="BU121" s="41"/>
      <c r="BV121" s="41"/>
      <c r="BW121" s="175"/>
      <c r="BX121" s="175"/>
      <c r="BY121" s="175"/>
      <c r="BZ121" s="175"/>
      <c r="CA121" s="175"/>
      <c r="CB121" s="175"/>
      <c r="CC121" s="175"/>
      <c r="CD121" s="175"/>
      <c r="CE121" s="175"/>
      <c r="CF121" s="175"/>
      <c r="CG121" s="175"/>
      <c r="CH121" s="175"/>
      <c r="CI121" s="175"/>
      <c r="CJ121" s="175"/>
      <c r="CK121" s="175"/>
      <c r="CL121" s="175"/>
      <c r="CM121" s="175"/>
      <c r="CN121" s="175"/>
      <c r="CO121" s="175"/>
      <c r="CP121" s="175"/>
      <c r="CQ121" s="175"/>
      <c r="CR121" s="175"/>
      <c r="CS121" s="175"/>
      <c r="CT121" s="175"/>
      <c r="CU121" s="175"/>
      <c r="CV121" s="175"/>
      <c r="CW121" s="175"/>
      <c r="CX121" s="175"/>
      <c r="CY121" s="175"/>
      <c r="CZ121" s="175"/>
      <c r="DA121" s="175"/>
      <c r="DB121" s="175"/>
      <c r="DC121" s="175"/>
      <c r="DD121" s="30"/>
      <c r="DE121" s="104"/>
      <c r="DF121" s="29"/>
    </row>
    <row r="122" spans="1:110" ht="5.0999999999999996" customHeight="1" x14ac:dyDescent="0.25">
      <c r="A122" s="104"/>
      <c r="B122" s="30"/>
      <c r="C122" s="43"/>
      <c r="D122" s="43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  <c r="AA122" s="186"/>
      <c r="AB122" s="186"/>
      <c r="AC122" s="186"/>
      <c r="AD122" s="186"/>
      <c r="AE122" s="186"/>
      <c r="AF122" s="186"/>
      <c r="AG122" s="186"/>
      <c r="AH122" s="186"/>
      <c r="AI122" s="186"/>
      <c r="AJ122" s="186"/>
      <c r="AK122" s="186"/>
      <c r="AL122" s="186"/>
      <c r="AM122" s="186"/>
      <c r="AN122" s="186"/>
      <c r="AO122" s="186"/>
      <c r="AP122" s="186"/>
      <c r="AQ122" s="186"/>
      <c r="AR122" s="186"/>
      <c r="AS122" s="186"/>
      <c r="AT122" s="186"/>
      <c r="AU122" s="186"/>
      <c r="AV122" s="186"/>
      <c r="AW122" s="186"/>
      <c r="AX122" s="186"/>
      <c r="AY122" s="186"/>
      <c r="AZ122" s="42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41"/>
      <c r="BV122" s="41"/>
      <c r="BW122" s="175"/>
      <c r="BX122" s="175"/>
      <c r="BY122" s="175"/>
      <c r="BZ122" s="175"/>
      <c r="CA122" s="175"/>
      <c r="CB122" s="175"/>
      <c r="CC122" s="175"/>
      <c r="CD122" s="175"/>
      <c r="CE122" s="175"/>
      <c r="CF122" s="175"/>
      <c r="CG122" s="175"/>
      <c r="CH122" s="175"/>
      <c r="CI122" s="175"/>
      <c r="CJ122" s="175"/>
      <c r="CK122" s="175"/>
      <c r="CL122" s="175"/>
      <c r="CM122" s="175"/>
      <c r="CN122" s="175"/>
      <c r="CO122" s="175"/>
      <c r="CP122" s="175"/>
      <c r="CQ122" s="175"/>
      <c r="CR122" s="175"/>
      <c r="CS122" s="175"/>
      <c r="CT122" s="175"/>
      <c r="CU122" s="175"/>
      <c r="CV122" s="175"/>
      <c r="CW122" s="175"/>
      <c r="CX122" s="175"/>
      <c r="CY122" s="175"/>
      <c r="CZ122" s="175"/>
      <c r="DA122" s="175"/>
      <c r="DB122" s="175"/>
      <c r="DC122" s="175"/>
      <c r="DD122" s="30"/>
      <c r="DE122" s="104"/>
      <c r="DF122" s="29"/>
    </row>
    <row r="123" spans="1:110" ht="5.0999999999999996" customHeight="1" x14ac:dyDescent="0.25">
      <c r="A123" s="104"/>
      <c r="B123" s="30"/>
      <c r="C123" s="43"/>
      <c r="D123" s="43"/>
      <c r="E123" s="186" t="str">
        <f>IF(LEN(TRIM('5 Доп сведения'!C6))=0," ",'5 Доп сведения'!C6)</f>
        <v xml:space="preserve"> </v>
      </c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  <c r="AA123" s="186"/>
      <c r="AB123" s="186"/>
      <c r="AC123" s="186"/>
      <c r="AD123" s="186"/>
      <c r="AE123" s="186"/>
      <c r="AF123" s="186"/>
      <c r="AG123" s="186"/>
      <c r="AH123" s="186"/>
      <c r="AI123" s="186"/>
      <c r="AJ123" s="186"/>
      <c r="AK123" s="186"/>
      <c r="AL123" s="186"/>
      <c r="AM123" s="186"/>
      <c r="AN123" s="186"/>
      <c r="AO123" s="186"/>
      <c r="AP123" s="186"/>
      <c r="AQ123" s="186"/>
      <c r="AR123" s="186"/>
      <c r="AS123" s="186"/>
      <c r="AT123" s="186"/>
      <c r="AU123" s="186"/>
      <c r="AV123" s="186"/>
      <c r="AW123" s="186"/>
      <c r="AX123" s="186"/>
      <c r="AY123" s="186"/>
      <c r="AZ123" s="42"/>
      <c r="BA123" s="30"/>
      <c r="BB123" s="30"/>
      <c r="BC123" s="30"/>
      <c r="BD123" s="30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175"/>
      <c r="BX123" s="175"/>
      <c r="BY123" s="175"/>
      <c r="BZ123" s="175"/>
      <c r="CA123" s="175"/>
      <c r="CB123" s="175"/>
      <c r="CC123" s="175"/>
      <c r="CD123" s="175"/>
      <c r="CE123" s="175"/>
      <c r="CF123" s="175"/>
      <c r="CG123" s="175"/>
      <c r="CH123" s="175"/>
      <c r="CI123" s="175"/>
      <c r="CJ123" s="175"/>
      <c r="CK123" s="175"/>
      <c r="CL123" s="175"/>
      <c r="CM123" s="175"/>
      <c r="CN123" s="175"/>
      <c r="CO123" s="175"/>
      <c r="CP123" s="175"/>
      <c r="CQ123" s="175"/>
      <c r="CR123" s="175"/>
      <c r="CS123" s="175"/>
      <c r="CT123" s="175"/>
      <c r="CU123" s="175"/>
      <c r="CV123" s="175"/>
      <c r="CW123" s="175"/>
      <c r="CX123" s="175"/>
      <c r="CY123" s="175"/>
      <c r="CZ123" s="175"/>
      <c r="DA123" s="175"/>
      <c r="DB123" s="175"/>
      <c r="DC123" s="175"/>
      <c r="DD123" s="30"/>
      <c r="DE123" s="104"/>
      <c r="DF123" s="29"/>
    </row>
    <row r="124" spans="1:110" ht="5.0999999999999996" customHeight="1" x14ac:dyDescent="0.25">
      <c r="A124" s="104"/>
      <c r="B124" s="30"/>
      <c r="C124" s="43"/>
      <c r="D124" s="43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  <c r="AA124" s="186"/>
      <c r="AB124" s="186"/>
      <c r="AC124" s="186"/>
      <c r="AD124" s="186"/>
      <c r="AE124" s="186"/>
      <c r="AF124" s="186"/>
      <c r="AG124" s="186"/>
      <c r="AH124" s="186"/>
      <c r="AI124" s="186"/>
      <c r="AJ124" s="186"/>
      <c r="AK124" s="186"/>
      <c r="AL124" s="186"/>
      <c r="AM124" s="186"/>
      <c r="AN124" s="186"/>
      <c r="AO124" s="186"/>
      <c r="AP124" s="186"/>
      <c r="AQ124" s="186"/>
      <c r="AR124" s="186"/>
      <c r="AS124" s="186"/>
      <c r="AT124" s="186"/>
      <c r="AU124" s="186"/>
      <c r="AV124" s="186"/>
      <c r="AW124" s="186"/>
      <c r="AX124" s="186"/>
      <c r="AY124" s="186"/>
      <c r="AZ124" s="42"/>
      <c r="BA124" s="30"/>
      <c r="BB124" s="30"/>
      <c r="BC124" s="30"/>
      <c r="BD124" s="30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112"/>
      <c r="BX124" s="112"/>
      <c r="BY124" s="112"/>
      <c r="BZ124" s="112"/>
      <c r="CA124" s="112"/>
      <c r="CB124" s="112"/>
      <c r="CC124" s="112"/>
      <c r="CD124" s="112"/>
      <c r="CE124" s="112"/>
      <c r="CF124" s="112"/>
      <c r="CG124" s="112"/>
      <c r="CH124" s="112"/>
      <c r="CI124" s="112"/>
      <c r="CJ124" s="112"/>
      <c r="CK124" s="112"/>
      <c r="CL124" s="112"/>
      <c r="CM124" s="112"/>
      <c r="CN124" s="112"/>
      <c r="CO124" s="112"/>
      <c r="CP124" s="112"/>
      <c r="CQ124" s="112"/>
      <c r="CR124" s="112"/>
      <c r="CS124" s="112"/>
      <c r="CT124" s="112"/>
      <c r="CU124" s="112"/>
      <c r="CV124" s="112"/>
      <c r="CW124" s="112"/>
      <c r="CX124" s="112"/>
      <c r="CY124" s="112"/>
      <c r="CZ124" s="112"/>
      <c r="DA124" s="112"/>
      <c r="DB124" s="112"/>
      <c r="DC124" s="112"/>
      <c r="DD124" s="30"/>
      <c r="DE124" s="104"/>
      <c r="DF124" s="29"/>
    </row>
    <row r="125" spans="1:110" ht="5.0999999999999996" customHeight="1" x14ac:dyDescent="0.25">
      <c r="A125" s="104"/>
      <c r="B125" s="30"/>
      <c r="C125" s="43"/>
      <c r="D125" s="43"/>
      <c r="E125" s="186" t="str">
        <f>IF(LEN(TRIM('5 Доп сведения'!C7))=0," ",'5 Доп сведения'!C7)</f>
        <v xml:space="preserve"> </v>
      </c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  <c r="AA125" s="186"/>
      <c r="AB125" s="186"/>
      <c r="AC125" s="186"/>
      <c r="AD125" s="186"/>
      <c r="AE125" s="186"/>
      <c r="AF125" s="186"/>
      <c r="AG125" s="186"/>
      <c r="AH125" s="186"/>
      <c r="AI125" s="186"/>
      <c r="AJ125" s="186"/>
      <c r="AK125" s="186"/>
      <c r="AL125" s="186"/>
      <c r="AM125" s="186"/>
      <c r="AN125" s="186"/>
      <c r="AO125" s="186"/>
      <c r="AP125" s="186"/>
      <c r="AQ125" s="186"/>
      <c r="AR125" s="186"/>
      <c r="AS125" s="186"/>
      <c r="AT125" s="186"/>
      <c r="AU125" s="186"/>
      <c r="AV125" s="186"/>
      <c r="AW125" s="186"/>
      <c r="AX125" s="186"/>
      <c r="AY125" s="186"/>
      <c r="AZ125" s="42"/>
      <c r="BA125" s="30"/>
      <c r="BB125" s="30"/>
      <c r="BC125" s="30"/>
      <c r="BD125" s="30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112"/>
      <c r="BX125" s="112"/>
      <c r="BY125" s="112"/>
      <c r="BZ125" s="112"/>
      <c r="CA125" s="112"/>
      <c r="CB125" s="112"/>
      <c r="CC125" s="112"/>
      <c r="CD125" s="112"/>
      <c r="CE125" s="112"/>
      <c r="CF125" s="112"/>
      <c r="CG125" s="112"/>
      <c r="CH125" s="112"/>
      <c r="CI125" s="112"/>
      <c r="CJ125" s="112"/>
      <c r="CK125" s="112"/>
      <c r="CL125" s="112"/>
      <c r="CM125" s="112"/>
      <c r="CN125" s="112"/>
      <c r="CO125" s="112"/>
      <c r="CP125" s="112"/>
      <c r="CQ125" s="112"/>
      <c r="CR125" s="112"/>
      <c r="CS125" s="112"/>
      <c r="CT125" s="112"/>
      <c r="CU125" s="112"/>
      <c r="CV125" s="112"/>
      <c r="CW125" s="112"/>
      <c r="CX125" s="112"/>
      <c r="CY125" s="112"/>
      <c r="CZ125" s="112"/>
      <c r="DA125" s="112"/>
      <c r="DB125" s="112"/>
      <c r="DC125" s="112"/>
      <c r="DD125" s="30"/>
      <c r="DE125" s="104"/>
      <c r="DF125" s="29"/>
    </row>
    <row r="126" spans="1:110" ht="5.0999999999999996" customHeight="1" x14ac:dyDescent="0.25">
      <c r="A126" s="104"/>
      <c r="B126" s="30"/>
      <c r="C126" s="43"/>
      <c r="D126" s="43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  <c r="AA126" s="186"/>
      <c r="AB126" s="186"/>
      <c r="AC126" s="186"/>
      <c r="AD126" s="186"/>
      <c r="AE126" s="186"/>
      <c r="AF126" s="186"/>
      <c r="AG126" s="186"/>
      <c r="AH126" s="186"/>
      <c r="AI126" s="186"/>
      <c r="AJ126" s="186"/>
      <c r="AK126" s="186"/>
      <c r="AL126" s="186"/>
      <c r="AM126" s="186"/>
      <c r="AN126" s="186"/>
      <c r="AO126" s="186"/>
      <c r="AP126" s="186"/>
      <c r="AQ126" s="186"/>
      <c r="AR126" s="186"/>
      <c r="AS126" s="186"/>
      <c r="AT126" s="186"/>
      <c r="AU126" s="186"/>
      <c r="AV126" s="186"/>
      <c r="AW126" s="186"/>
      <c r="AX126" s="186"/>
      <c r="AY126" s="186"/>
      <c r="AZ126" s="42"/>
      <c r="BA126" s="30"/>
      <c r="BB126" s="30"/>
      <c r="BC126" s="30"/>
      <c r="BD126" s="30"/>
      <c r="BE126" s="41"/>
      <c r="BF126" s="41"/>
      <c r="BG126" s="41"/>
      <c r="BH126" s="41"/>
      <c r="BI126" s="41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112"/>
      <c r="BX126" s="112"/>
      <c r="BY126" s="112"/>
      <c r="BZ126" s="112"/>
      <c r="CA126" s="112"/>
      <c r="CB126" s="112"/>
      <c r="CC126" s="112"/>
      <c r="CD126" s="112"/>
      <c r="CE126" s="112"/>
      <c r="CF126" s="112"/>
      <c r="CG126" s="112"/>
      <c r="CH126" s="112"/>
      <c r="CI126" s="112"/>
      <c r="CJ126" s="112"/>
      <c r="CK126" s="112"/>
      <c r="CL126" s="112"/>
      <c r="CM126" s="112"/>
      <c r="CN126" s="112"/>
      <c r="CO126" s="112"/>
      <c r="CP126" s="112"/>
      <c r="CQ126" s="112"/>
      <c r="CR126" s="112"/>
      <c r="CS126" s="112"/>
      <c r="CT126" s="112"/>
      <c r="CU126" s="112"/>
      <c r="CV126" s="112"/>
      <c r="CW126" s="112"/>
      <c r="CX126" s="112"/>
      <c r="CY126" s="112"/>
      <c r="CZ126" s="112"/>
      <c r="DA126" s="112"/>
      <c r="DB126" s="112"/>
      <c r="DC126" s="112"/>
      <c r="DD126" s="30"/>
      <c r="DE126" s="104"/>
      <c r="DF126" s="29"/>
    </row>
    <row r="127" spans="1:110" ht="5.0999999999999996" customHeight="1" x14ac:dyDescent="0.25">
      <c r="A127" s="104"/>
      <c r="B127" s="30"/>
      <c r="C127" s="43"/>
      <c r="D127" s="43"/>
      <c r="E127" s="186" t="str">
        <f>IF(LEN(TRIM('5 Доп сведения'!C8))=0," ",'5 Доп сведения'!C8)</f>
        <v xml:space="preserve"> </v>
      </c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  <c r="AA127" s="186"/>
      <c r="AB127" s="186"/>
      <c r="AC127" s="186"/>
      <c r="AD127" s="186"/>
      <c r="AE127" s="186"/>
      <c r="AF127" s="186"/>
      <c r="AG127" s="186"/>
      <c r="AH127" s="186"/>
      <c r="AI127" s="186"/>
      <c r="AJ127" s="186"/>
      <c r="AK127" s="186"/>
      <c r="AL127" s="186"/>
      <c r="AM127" s="186"/>
      <c r="AN127" s="186"/>
      <c r="AO127" s="186"/>
      <c r="AP127" s="186"/>
      <c r="AQ127" s="186"/>
      <c r="AR127" s="186"/>
      <c r="AS127" s="186"/>
      <c r="AT127" s="186"/>
      <c r="AU127" s="186"/>
      <c r="AV127" s="186"/>
      <c r="AW127" s="186"/>
      <c r="AX127" s="186"/>
      <c r="AY127" s="186"/>
      <c r="AZ127" s="42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41"/>
      <c r="BV127" s="41"/>
      <c r="BW127" s="112"/>
      <c r="BX127" s="112"/>
      <c r="BY127" s="112"/>
      <c r="BZ127" s="112"/>
      <c r="CA127" s="112"/>
      <c r="CB127" s="112"/>
      <c r="CC127" s="112"/>
      <c r="CD127" s="112"/>
      <c r="CE127" s="112"/>
      <c r="CF127" s="112"/>
      <c r="CG127" s="112"/>
      <c r="CH127" s="112"/>
      <c r="CI127" s="112"/>
      <c r="CJ127" s="112"/>
      <c r="CK127" s="112"/>
      <c r="CL127" s="112"/>
      <c r="CM127" s="112"/>
      <c r="CN127" s="112"/>
      <c r="CO127" s="112"/>
      <c r="CP127" s="112"/>
      <c r="CQ127" s="112"/>
      <c r="CR127" s="112"/>
      <c r="CS127" s="112"/>
      <c r="CT127" s="112"/>
      <c r="CU127" s="112"/>
      <c r="CV127" s="112"/>
      <c r="CW127" s="112"/>
      <c r="CX127" s="112"/>
      <c r="CY127" s="112"/>
      <c r="CZ127" s="112"/>
      <c r="DA127" s="112"/>
      <c r="DB127" s="112"/>
      <c r="DC127" s="112"/>
      <c r="DD127" s="30"/>
      <c r="DE127" s="104"/>
      <c r="DF127" s="29"/>
    </row>
    <row r="128" spans="1:110" ht="5.0999999999999996" customHeight="1" x14ac:dyDescent="0.25">
      <c r="A128" s="104"/>
      <c r="B128" s="30"/>
      <c r="C128" s="43"/>
      <c r="D128" s="43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  <c r="AA128" s="186"/>
      <c r="AB128" s="186"/>
      <c r="AC128" s="186"/>
      <c r="AD128" s="186"/>
      <c r="AE128" s="186"/>
      <c r="AF128" s="186"/>
      <c r="AG128" s="186"/>
      <c r="AH128" s="186"/>
      <c r="AI128" s="186"/>
      <c r="AJ128" s="186"/>
      <c r="AK128" s="186"/>
      <c r="AL128" s="186"/>
      <c r="AM128" s="186"/>
      <c r="AN128" s="186"/>
      <c r="AO128" s="186"/>
      <c r="AP128" s="186"/>
      <c r="AQ128" s="186"/>
      <c r="AR128" s="186"/>
      <c r="AS128" s="186"/>
      <c r="AT128" s="186"/>
      <c r="AU128" s="186"/>
      <c r="AV128" s="186"/>
      <c r="AW128" s="186"/>
      <c r="AX128" s="186"/>
      <c r="AY128" s="186"/>
      <c r="AZ128" s="42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41"/>
      <c r="BV128" s="41"/>
      <c r="BW128" s="112"/>
      <c r="BX128" s="112"/>
      <c r="BY128" s="112"/>
      <c r="BZ128" s="112"/>
      <c r="CA128" s="112"/>
      <c r="CB128" s="112"/>
      <c r="CC128" s="112"/>
      <c r="CD128" s="112"/>
      <c r="CE128" s="112"/>
      <c r="CF128" s="112"/>
      <c r="CG128" s="112"/>
      <c r="CH128" s="112"/>
      <c r="CI128" s="112"/>
      <c r="CJ128" s="112"/>
      <c r="CK128" s="112"/>
      <c r="CL128" s="112"/>
      <c r="CM128" s="112"/>
      <c r="CN128" s="112"/>
      <c r="CO128" s="112"/>
      <c r="CP128" s="112"/>
      <c r="CQ128" s="112"/>
      <c r="CR128" s="112"/>
      <c r="CS128" s="112"/>
      <c r="CT128" s="112"/>
      <c r="CU128" s="112"/>
      <c r="CV128" s="112"/>
      <c r="CW128" s="112"/>
      <c r="CX128" s="112"/>
      <c r="CY128" s="112"/>
      <c r="CZ128" s="112"/>
      <c r="DA128" s="112"/>
      <c r="DB128" s="112"/>
      <c r="DC128" s="112"/>
      <c r="DD128" s="30"/>
      <c r="DE128" s="104"/>
      <c r="DF128" s="29"/>
    </row>
    <row r="129" spans="1:110" ht="5.0999999999999996" customHeight="1" x14ac:dyDescent="0.25">
      <c r="A129" s="104"/>
      <c r="B129" s="30"/>
      <c r="C129" s="43"/>
      <c r="D129" s="43"/>
      <c r="E129" s="186" t="str">
        <f>IF(LEN(TRIM('5 Доп сведения'!C9))=0," ",'5 Доп сведения'!C9)</f>
        <v xml:space="preserve"> </v>
      </c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  <c r="AA129" s="186"/>
      <c r="AB129" s="186"/>
      <c r="AC129" s="186"/>
      <c r="AD129" s="186"/>
      <c r="AE129" s="186"/>
      <c r="AF129" s="186"/>
      <c r="AG129" s="186"/>
      <c r="AH129" s="186"/>
      <c r="AI129" s="186"/>
      <c r="AJ129" s="186"/>
      <c r="AK129" s="186"/>
      <c r="AL129" s="186"/>
      <c r="AM129" s="186"/>
      <c r="AN129" s="186"/>
      <c r="AO129" s="186"/>
      <c r="AP129" s="186"/>
      <c r="AQ129" s="186"/>
      <c r="AR129" s="186"/>
      <c r="AS129" s="186"/>
      <c r="AT129" s="186"/>
      <c r="AU129" s="186"/>
      <c r="AV129" s="186"/>
      <c r="AW129" s="186"/>
      <c r="AX129" s="186"/>
      <c r="AY129" s="186"/>
      <c r="AZ129" s="42"/>
      <c r="BA129" s="30"/>
      <c r="BB129" s="30"/>
      <c r="BC129" s="30"/>
      <c r="BD129" s="30"/>
      <c r="BE129" s="169" t="str">
        <f>Диплом!B5 &amp;" " &amp;Диплом!B6</f>
        <v>бакалавра с отличием</v>
      </c>
      <c r="BF129" s="169"/>
      <c r="BG129" s="169"/>
      <c r="BH129" s="169"/>
      <c r="BI129" s="169"/>
      <c r="BJ129" s="169"/>
      <c r="BK129" s="169"/>
      <c r="BL129" s="169"/>
      <c r="BM129" s="169"/>
      <c r="BN129" s="169"/>
      <c r="BO129" s="169"/>
      <c r="BP129" s="169"/>
      <c r="BQ129" s="169"/>
      <c r="BR129" s="169"/>
      <c r="BS129" s="169"/>
      <c r="BT129" s="169"/>
      <c r="BU129" s="41"/>
      <c r="BV129" s="41"/>
      <c r="BW129" s="112"/>
      <c r="BX129" s="112"/>
      <c r="BY129" s="112"/>
      <c r="BZ129" s="112"/>
      <c r="CA129" s="112"/>
      <c r="CB129" s="112"/>
      <c r="CC129" s="112"/>
      <c r="CD129" s="112"/>
      <c r="CE129" s="112"/>
      <c r="CF129" s="112"/>
      <c r="CG129" s="112"/>
      <c r="CH129" s="112"/>
      <c r="CI129" s="112"/>
      <c r="CJ129" s="112"/>
      <c r="CK129" s="112"/>
      <c r="CL129" s="112"/>
      <c r="CM129" s="112"/>
      <c r="CN129" s="112"/>
      <c r="CO129" s="112"/>
      <c r="CP129" s="112"/>
      <c r="CQ129" s="112"/>
      <c r="CR129" s="112"/>
      <c r="CS129" s="112"/>
      <c r="CT129" s="112"/>
      <c r="CU129" s="112"/>
      <c r="CV129" s="112"/>
      <c r="CW129" s="112"/>
      <c r="CX129" s="112"/>
      <c r="CY129" s="112"/>
      <c r="CZ129" s="112"/>
      <c r="DA129" s="112"/>
      <c r="DB129" s="112"/>
      <c r="DC129" s="112"/>
      <c r="DD129" s="30"/>
      <c r="DE129" s="104"/>
      <c r="DF129" s="29"/>
    </row>
    <row r="130" spans="1:110" ht="5.0999999999999996" customHeight="1" x14ac:dyDescent="0.25">
      <c r="A130" s="104"/>
      <c r="B130" s="30"/>
      <c r="C130" s="43"/>
      <c r="D130" s="43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  <c r="AA130" s="186"/>
      <c r="AB130" s="186"/>
      <c r="AC130" s="186"/>
      <c r="AD130" s="186"/>
      <c r="AE130" s="186"/>
      <c r="AF130" s="186"/>
      <c r="AG130" s="186"/>
      <c r="AH130" s="186"/>
      <c r="AI130" s="186"/>
      <c r="AJ130" s="186"/>
      <c r="AK130" s="186"/>
      <c r="AL130" s="186"/>
      <c r="AM130" s="186"/>
      <c r="AN130" s="186"/>
      <c r="AO130" s="186"/>
      <c r="AP130" s="186"/>
      <c r="AQ130" s="186"/>
      <c r="AR130" s="186"/>
      <c r="AS130" s="186"/>
      <c r="AT130" s="186"/>
      <c r="AU130" s="186"/>
      <c r="AV130" s="186"/>
      <c r="AW130" s="186"/>
      <c r="AX130" s="186"/>
      <c r="AY130" s="186"/>
      <c r="AZ130" s="42"/>
      <c r="BA130" s="30"/>
      <c r="BB130" s="30"/>
      <c r="BC130" s="30"/>
      <c r="BD130" s="30"/>
      <c r="BE130" s="169"/>
      <c r="BF130" s="169"/>
      <c r="BG130" s="169"/>
      <c r="BH130" s="169"/>
      <c r="BI130" s="169"/>
      <c r="BJ130" s="169"/>
      <c r="BK130" s="169"/>
      <c r="BL130" s="169"/>
      <c r="BM130" s="169"/>
      <c r="BN130" s="169"/>
      <c r="BO130" s="169"/>
      <c r="BP130" s="169"/>
      <c r="BQ130" s="169"/>
      <c r="BR130" s="169"/>
      <c r="BS130" s="169"/>
      <c r="BT130" s="169"/>
      <c r="BU130" s="41"/>
      <c r="BV130" s="41"/>
      <c r="BW130" s="112"/>
      <c r="BX130" s="112"/>
      <c r="BY130" s="112"/>
      <c r="BZ130" s="112"/>
      <c r="CA130" s="112"/>
      <c r="CB130" s="112"/>
      <c r="CC130" s="112"/>
      <c r="CD130" s="112"/>
      <c r="CE130" s="112"/>
      <c r="CF130" s="112"/>
      <c r="CG130" s="112"/>
      <c r="CH130" s="112"/>
      <c r="CI130" s="112"/>
      <c r="CJ130" s="112"/>
      <c r="CK130" s="112"/>
      <c r="CL130" s="112"/>
      <c r="CM130" s="112"/>
      <c r="CN130" s="112"/>
      <c r="CO130" s="112"/>
      <c r="CP130" s="112"/>
      <c r="CQ130" s="112"/>
      <c r="CR130" s="112"/>
      <c r="CS130" s="112"/>
      <c r="CT130" s="112"/>
      <c r="CU130" s="112"/>
      <c r="CV130" s="112"/>
      <c r="CW130" s="112"/>
      <c r="CX130" s="112"/>
      <c r="CY130" s="112"/>
      <c r="CZ130" s="112"/>
      <c r="DA130" s="112"/>
      <c r="DB130" s="112"/>
      <c r="DC130" s="112"/>
      <c r="DD130" s="30"/>
      <c r="DE130" s="104"/>
      <c r="DF130" s="29"/>
    </row>
    <row r="131" spans="1:110" ht="5.0999999999999996" customHeight="1" x14ac:dyDescent="0.25">
      <c r="A131" s="104"/>
      <c r="B131" s="30"/>
      <c r="C131" s="30"/>
      <c r="D131" s="30"/>
      <c r="E131" s="186" t="str">
        <f>IF(LEN(TRIM('5 Доп сведения'!C10))=0," ",'5 Доп сведения'!C10)</f>
        <v xml:space="preserve"> </v>
      </c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  <c r="AA131" s="186"/>
      <c r="AB131" s="186"/>
      <c r="AC131" s="186"/>
      <c r="AD131" s="186"/>
      <c r="AE131" s="186"/>
      <c r="AF131" s="186"/>
      <c r="AG131" s="186"/>
      <c r="AH131" s="186"/>
      <c r="AI131" s="186"/>
      <c r="AJ131" s="186"/>
      <c r="AK131" s="186"/>
      <c r="AL131" s="186"/>
      <c r="AM131" s="186"/>
      <c r="AN131" s="186"/>
      <c r="AO131" s="186"/>
      <c r="AP131" s="186"/>
      <c r="AQ131" s="186"/>
      <c r="AR131" s="186"/>
      <c r="AS131" s="186"/>
      <c r="AT131" s="186"/>
      <c r="AU131" s="186"/>
      <c r="AV131" s="186"/>
      <c r="AW131" s="186"/>
      <c r="AX131" s="186"/>
      <c r="AY131" s="186"/>
      <c r="AZ131" s="44"/>
      <c r="BA131" s="30"/>
      <c r="BB131" s="30"/>
      <c r="BC131" s="30"/>
      <c r="BD131" s="30"/>
      <c r="BE131" s="169"/>
      <c r="BF131" s="169"/>
      <c r="BG131" s="169"/>
      <c r="BH131" s="169"/>
      <c r="BI131" s="169"/>
      <c r="BJ131" s="169"/>
      <c r="BK131" s="169"/>
      <c r="BL131" s="169"/>
      <c r="BM131" s="169"/>
      <c r="BN131" s="169"/>
      <c r="BO131" s="169"/>
      <c r="BP131" s="169"/>
      <c r="BQ131" s="169"/>
      <c r="BR131" s="169"/>
      <c r="BS131" s="169"/>
      <c r="BT131" s="169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104"/>
      <c r="DF131" s="29"/>
    </row>
    <row r="132" spans="1:110" ht="5.0999999999999996" customHeight="1" x14ac:dyDescent="0.25">
      <c r="A132" s="104"/>
      <c r="B132" s="30"/>
      <c r="C132" s="30"/>
      <c r="D132" s="30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  <c r="AA132" s="186"/>
      <c r="AB132" s="186"/>
      <c r="AC132" s="186"/>
      <c r="AD132" s="186"/>
      <c r="AE132" s="186"/>
      <c r="AF132" s="186"/>
      <c r="AG132" s="186"/>
      <c r="AH132" s="186"/>
      <c r="AI132" s="186"/>
      <c r="AJ132" s="186"/>
      <c r="AK132" s="186"/>
      <c r="AL132" s="186"/>
      <c r="AM132" s="186"/>
      <c r="AN132" s="186"/>
      <c r="AO132" s="186"/>
      <c r="AP132" s="186"/>
      <c r="AQ132" s="186"/>
      <c r="AR132" s="186"/>
      <c r="AS132" s="186"/>
      <c r="AT132" s="186"/>
      <c r="AU132" s="186"/>
      <c r="AV132" s="186"/>
      <c r="AW132" s="186"/>
      <c r="AX132" s="186"/>
      <c r="AY132" s="186"/>
      <c r="AZ132" s="44"/>
      <c r="BA132" s="30"/>
      <c r="BB132" s="30"/>
      <c r="BC132" s="30"/>
      <c r="BD132" s="3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104"/>
      <c r="DF132" s="29"/>
    </row>
    <row r="133" spans="1:110" ht="5.0999999999999996" customHeight="1" x14ac:dyDescent="0.25">
      <c r="A133" s="104"/>
      <c r="B133" s="30"/>
      <c r="C133" s="30"/>
      <c r="D133" s="30"/>
      <c r="E133" s="186" t="str">
        <f>IF(LEN(TRIM('5 Доп сведения'!C11))=0," ",'5 Доп сведения'!C11)</f>
        <v xml:space="preserve"> </v>
      </c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  <c r="AA133" s="186"/>
      <c r="AB133" s="186"/>
      <c r="AC133" s="186"/>
      <c r="AD133" s="186"/>
      <c r="AE133" s="186"/>
      <c r="AF133" s="186"/>
      <c r="AG133" s="186"/>
      <c r="AH133" s="186"/>
      <c r="AI133" s="186"/>
      <c r="AJ133" s="186"/>
      <c r="AK133" s="186"/>
      <c r="AL133" s="186"/>
      <c r="AM133" s="186"/>
      <c r="AN133" s="186"/>
      <c r="AO133" s="186"/>
      <c r="AP133" s="186"/>
      <c r="AQ133" s="186"/>
      <c r="AR133" s="186"/>
      <c r="AS133" s="186"/>
      <c r="AT133" s="186"/>
      <c r="AU133" s="186"/>
      <c r="AV133" s="186"/>
      <c r="AW133" s="186"/>
      <c r="AX133" s="186"/>
      <c r="AY133" s="186"/>
      <c r="AZ133" s="44"/>
      <c r="BA133" s="30"/>
      <c r="BB133" s="30"/>
      <c r="BC133" s="30"/>
      <c r="BD133" s="3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104"/>
      <c r="DF133" s="29"/>
    </row>
    <row r="134" spans="1:110" ht="5.0999999999999996" customHeight="1" x14ac:dyDescent="0.25">
      <c r="A134" s="104"/>
      <c r="B134" s="30"/>
      <c r="C134" s="30"/>
      <c r="D134" s="30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  <c r="AA134" s="186"/>
      <c r="AB134" s="186"/>
      <c r="AC134" s="186"/>
      <c r="AD134" s="186"/>
      <c r="AE134" s="186"/>
      <c r="AF134" s="186"/>
      <c r="AG134" s="186"/>
      <c r="AH134" s="186"/>
      <c r="AI134" s="186"/>
      <c r="AJ134" s="186"/>
      <c r="AK134" s="186"/>
      <c r="AL134" s="186"/>
      <c r="AM134" s="186"/>
      <c r="AN134" s="186"/>
      <c r="AO134" s="186"/>
      <c r="AP134" s="186"/>
      <c r="AQ134" s="186"/>
      <c r="AR134" s="186"/>
      <c r="AS134" s="186"/>
      <c r="AT134" s="186"/>
      <c r="AU134" s="186"/>
      <c r="AV134" s="186"/>
      <c r="AW134" s="186"/>
      <c r="AX134" s="186"/>
      <c r="AY134" s="186"/>
      <c r="AZ134" s="30"/>
      <c r="BA134" s="30"/>
      <c r="BB134" s="30"/>
      <c r="BC134" s="30"/>
      <c r="BD134" s="3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104"/>
      <c r="DF134" s="29"/>
    </row>
    <row r="135" spans="1:110" ht="5.0999999999999996" customHeight="1" x14ac:dyDescent="0.25">
      <c r="A135" s="104"/>
      <c r="B135" s="30"/>
      <c r="C135" s="30"/>
      <c r="D135" s="30"/>
      <c r="E135" s="186" t="str">
        <f>IF(LEN(TRIM('5 Доп сведения'!C12))=0," ",'5 Доп сведения'!C12)</f>
        <v xml:space="preserve"> </v>
      </c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  <c r="AA135" s="186"/>
      <c r="AB135" s="186"/>
      <c r="AC135" s="186"/>
      <c r="AD135" s="186"/>
      <c r="AE135" s="186"/>
      <c r="AF135" s="186"/>
      <c r="AG135" s="186"/>
      <c r="AH135" s="186"/>
      <c r="AI135" s="186"/>
      <c r="AJ135" s="186"/>
      <c r="AK135" s="186"/>
      <c r="AL135" s="186"/>
      <c r="AM135" s="186"/>
      <c r="AN135" s="186"/>
      <c r="AO135" s="186"/>
      <c r="AP135" s="186"/>
      <c r="AQ135" s="186"/>
      <c r="AR135" s="186"/>
      <c r="AS135" s="186"/>
      <c r="AT135" s="186"/>
      <c r="AU135" s="186"/>
      <c r="AV135" s="186"/>
      <c r="AW135" s="186"/>
      <c r="AX135" s="186"/>
      <c r="AY135" s="186"/>
      <c r="AZ135" s="30"/>
      <c r="BA135" s="30"/>
      <c r="BB135" s="3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11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104"/>
      <c r="DF135" s="29"/>
    </row>
    <row r="136" spans="1:110" ht="5.0999999999999996" customHeight="1" x14ac:dyDescent="0.25">
      <c r="A136" s="104"/>
      <c r="B136" s="30"/>
      <c r="C136" s="30"/>
      <c r="D136" s="30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  <c r="AA136" s="186"/>
      <c r="AB136" s="186"/>
      <c r="AC136" s="186"/>
      <c r="AD136" s="186"/>
      <c r="AE136" s="186"/>
      <c r="AF136" s="186"/>
      <c r="AG136" s="186"/>
      <c r="AH136" s="186"/>
      <c r="AI136" s="186"/>
      <c r="AJ136" s="186"/>
      <c r="AK136" s="186"/>
      <c r="AL136" s="186"/>
      <c r="AM136" s="186"/>
      <c r="AN136" s="186"/>
      <c r="AO136" s="186"/>
      <c r="AP136" s="186"/>
      <c r="AQ136" s="186"/>
      <c r="AR136" s="186"/>
      <c r="AS136" s="186"/>
      <c r="AT136" s="186"/>
      <c r="AU136" s="186"/>
      <c r="AV136" s="186"/>
      <c r="AW136" s="186"/>
      <c r="AX136" s="186"/>
      <c r="AY136" s="186"/>
      <c r="AZ136" s="30"/>
      <c r="BA136" s="30"/>
      <c r="BB136" s="30"/>
      <c r="BC136" s="40"/>
      <c r="BD136" s="40"/>
      <c r="BE136" s="169"/>
      <c r="BF136" s="169"/>
      <c r="BG136" s="169"/>
      <c r="BH136" s="169"/>
      <c r="BI136" s="169"/>
      <c r="BJ136" s="169"/>
      <c r="BK136" s="169"/>
      <c r="BL136" s="169"/>
      <c r="BM136" s="169"/>
      <c r="BN136" s="169"/>
      <c r="BO136" s="169"/>
      <c r="BP136" s="169"/>
      <c r="BQ136" s="169"/>
      <c r="BR136" s="169"/>
      <c r="BS136" s="169"/>
      <c r="BT136" s="169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104"/>
      <c r="DF136" s="29"/>
    </row>
    <row r="137" spans="1:110" ht="5.0999999999999996" customHeight="1" x14ac:dyDescent="0.25">
      <c r="A137" s="104"/>
      <c r="B137" s="30"/>
      <c r="C137" s="30"/>
      <c r="D137" s="30"/>
      <c r="E137" s="186" t="str">
        <f>IF(LEN(TRIM('5 Доп сведения'!C13))=0," ",'5 Доп сведения'!C13)</f>
        <v xml:space="preserve"> </v>
      </c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  <c r="AA137" s="186"/>
      <c r="AB137" s="186"/>
      <c r="AC137" s="186"/>
      <c r="AD137" s="186"/>
      <c r="AE137" s="186"/>
      <c r="AF137" s="186"/>
      <c r="AG137" s="186"/>
      <c r="AH137" s="186"/>
      <c r="AI137" s="186"/>
      <c r="AJ137" s="186"/>
      <c r="AK137" s="186"/>
      <c r="AL137" s="186"/>
      <c r="AM137" s="186"/>
      <c r="AN137" s="186"/>
      <c r="AO137" s="186"/>
      <c r="AP137" s="186"/>
      <c r="AQ137" s="186"/>
      <c r="AR137" s="186"/>
      <c r="AS137" s="186"/>
      <c r="AT137" s="186"/>
      <c r="AU137" s="186"/>
      <c r="AV137" s="186"/>
      <c r="AW137" s="186"/>
      <c r="AX137" s="186"/>
      <c r="AY137" s="186"/>
      <c r="AZ137" s="30"/>
      <c r="BA137" s="30"/>
      <c r="BB137" s="30"/>
      <c r="BC137" s="40"/>
      <c r="BD137" s="40"/>
      <c r="BE137" s="169"/>
      <c r="BF137" s="169"/>
      <c r="BG137" s="169"/>
      <c r="BH137" s="169"/>
      <c r="BI137" s="169"/>
      <c r="BJ137" s="169"/>
      <c r="BK137" s="169"/>
      <c r="BL137" s="169"/>
      <c r="BM137" s="169"/>
      <c r="BN137" s="169"/>
      <c r="BO137" s="169"/>
      <c r="BP137" s="169"/>
      <c r="BQ137" s="169"/>
      <c r="BR137" s="169"/>
      <c r="BS137" s="169"/>
      <c r="BT137" s="169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104"/>
      <c r="DF137" s="29"/>
    </row>
    <row r="138" spans="1:110" ht="5.0999999999999996" customHeight="1" x14ac:dyDescent="0.25">
      <c r="A138" s="104"/>
      <c r="B138" s="30"/>
      <c r="C138" s="30"/>
      <c r="D138" s="30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  <c r="AA138" s="186"/>
      <c r="AB138" s="186"/>
      <c r="AC138" s="186"/>
      <c r="AD138" s="186"/>
      <c r="AE138" s="186"/>
      <c r="AF138" s="186"/>
      <c r="AG138" s="186"/>
      <c r="AH138" s="186"/>
      <c r="AI138" s="186"/>
      <c r="AJ138" s="186"/>
      <c r="AK138" s="186"/>
      <c r="AL138" s="186"/>
      <c r="AM138" s="186"/>
      <c r="AN138" s="186"/>
      <c r="AO138" s="186"/>
      <c r="AP138" s="186"/>
      <c r="AQ138" s="186"/>
      <c r="AR138" s="186"/>
      <c r="AS138" s="186"/>
      <c r="AT138" s="186"/>
      <c r="AU138" s="186"/>
      <c r="AV138" s="186"/>
      <c r="AW138" s="186"/>
      <c r="AX138" s="186"/>
      <c r="AY138" s="186"/>
      <c r="AZ138" s="30"/>
      <c r="BA138" s="30"/>
      <c r="BB138" s="30"/>
      <c r="BC138" s="40"/>
      <c r="BD138" s="40"/>
      <c r="BE138" s="169"/>
      <c r="BF138" s="169"/>
      <c r="BG138" s="169"/>
      <c r="BH138" s="169"/>
      <c r="BI138" s="169"/>
      <c r="BJ138" s="169"/>
      <c r="BK138" s="169"/>
      <c r="BL138" s="169"/>
      <c r="BM138" s="169"/>
      <c r="BN138" s="169"/>
      <c r="BO138" s="169"/>
      <c r="BP138" s="169"/>
      <c r="BQ138" s="169"/>
      <c r="BR138" s="169"/>
      <c r="BS138" s="169"/>
      <c r="BT138" s="169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104"/>
      <c r="DF138" s="29"/>
    </row>
    <row r="139" spans="1:110" ht="5.0999999999999996" customHeight="1" x14ac:dyDescent="0.25">
      <c r="A139" s="104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0"/>
      <c r="BA139" s="30"/>
      <c r="BB139" s="30"/>
      <c r="BC139" s="40"/>
      <c r="BD139" s="40"/>
      <c r="BE139" s="169"/>
      <c r="BF139" s="169"/>
      <c r="BG139" s="169"/>
      <c r="BH139" s="169"/>
      <c r="BI139" s="169"/>
      <c r="BJ139" s="169"/>
      <c r="BK139" s="169"/>
      <c r="BL139" s="169"/>
      <c r="BM139" s="169"/>
      <c r="BN139" s="169"/>
      <c r="BO139" s="169"/>
      <c r="BP139" s="169"/>
      <c r="BQ139" s="169"/>
      <c r="BR139" s="169"/>
      <c r="BS139" s="169"/>
      <c r="BT139" s="169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  <c r="DE139" s="104"/>
      <c r="DF139" s="29"/>
    </row>
    <row r="140" spans="1:110" ht="5.0999999999999996" customHeight="1" x14ac:dyDescent="0.25">
      <c r="A140" s="104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0"/>
      <c r="BA140" s="30"/>
      <c r="BB140" s="30"/>
      <c r="BC140" s="40"/>
      <c r="BD140" s="40"/>
      <c r="BE140" s="169"/>
      <c r="BF140" s="169"/>
      <c r="BG140" s="169"/>
      <c r="BH140" s="169"/>
      <c r="BI140" s="169"/>
      <c r="BJ140" s="169"/>
      <c r="BK140" s="169"/>
      <c r="BL140" s="169"/>
      <c r="BM140" s="169"/>
      <c r="BN140" s="169"/>
      <c r="BO140" s="169"/>
      <c r="BP140" s="169"/>
      <c r="BQ140" s="169"/>
      <c r="BR140" s="169"/>
      <c r="BS140" s="169"/>
      <c r="BT140" s="169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104"/>
      <c r="DF140" s="29"/>
    </row>
    <row r="141" spans="1:110" ht="5.0999999999999996" customHeight="1" x14ac:dyDescent="0.25">
      <c r="A141" s="104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0"/>
      <c r="BA141" s="30"/>
      <c r="BB141" s="30"/>
      <c r="BC141" s="40"/>
      <c r="BD141" s="40"/>
      <c r="BE141" s="169"/>
      <c r="BF141" s="169"/>
      <c r="BG141" s="169"/>
      <c r="BH141" s="169"/>
      <c r="BI141" s="169"/>
      <c r="BJ141" s="169"/>
      <c r="BK141" s="169"/>
      <c r="BL141" s="169"/>
      <c r="BM141" s="169"/>
      <c r="BN141" s="169"/>
      <c r="BO141" s="169"/>
      <c r="BP141" s="169"/>
      <c r="BQ141" s="169"/>
      <c r="BR141" s="169"/>
      <c r="BS141" s="169"/>
      <c r="BT141" s="169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104"/>
      <c r="DF141" s="29"/>
    </row>
    <row r="142" spans="1:110" ht="5.0999999999999996" customHeight="1" x14ac:dyDescent="0.25">
      <c r="A142" s="104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0"/>
      <c r="BA142" s="30"/>
      <c r="BB142" s="30"/>
      <c r="BC142" s="40"/>
      <c r="BD142" s="40"/>
      <c r="BE142" s="169"/>
      <c r="BF142" s="169"/>
      <c r="BG142" s="169"/>
      <c r="BH142" s="169"/>
      <c r="BI142" s="169"/>
      <c r="BJ142" s="169"/>
      <c r="BK142" s="169"/>
      <c r="BL142" s="169"/>
      <c r="BM142" s="169"/>
      <c r="BN142" s="169"/>
      <c r="BO142" s="169"/>
      <c r="BP142" s="169"/>
      <c r="BQ142" s="169"/>
      <c r="BR142" s="169"/>
      <c r="BS142" s="169"/>
      <c r="BT142" s="169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104"/>
      <c r="DF142" s="29"/>
    </row>
    <row r="143" spans="1:110" ht="5.0999999999999996" customHeight="1" x14ac:dyDescent="0.3">
      <c r="A143" s="104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30"/>
      <c r="BA143" s="30"/>
      <c r="BB143" s="30"/>
      <c r="BC143" s="30"/>
      <c r="BD143" s="30"/>
      <c r="BE143" s="169"/>
      <c r="BF143" s="169"/>
      <c r="BG143" s="169"/>
      <c r="BH143" s="169"/>
      <c r="BI143" s="169"/>
      <c r="BJ143" s="169"/>
      <c r="BK143" s="169"/>
      <c r="BL143" s="169"/>
      <c r="BM143" s="169"/>
      <c r="BN143" s="169"/>
      <c r="BO143" s="169"/>
      <c r="BP143" s="169"/>
      <c r="BQ143" s="169"/>
      <c r="BR143" s="169"/>
      <c r="BS143" s="169"/>
      <c r="BT143" s="169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104"/>
      <c r="DF143" s="29"/>
    </row>
    <row r="144" spans="1:110" ht="5.0999999999999996" customHeight="1" x14ac:dyDescent="0.3">
      <c r="A144" s="104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104"/>
      <c r="DF144" s="29"/>
    </row>
    <row r="145" spans="1:110" ht="5.0999999999999996" customHeight="1" x14ac:dyDescent="0.25">
      <c r="A145" s="104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46"/>
      <c r="AG145" s="108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104"/>
      <c r="DF145" s="29"/>
    </row>
    <row r="146" spans="1:110" ht="5.0999999999999996" customHeight="1" x14ac:dyDescent="0.25">
      <c r="A146" s="104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46"/>
      <c r="AG146" s="108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104"/>
      <c r="DF146" s="29"/>
    </row>
    <row r="147" spans="1:110" ht="5.0999999999999996" customHeight="1" x14ac:dyDescent="0.25">
      <c r="A147" s="104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108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104"/>
      <c r="DF147" s="29"/>
    </row>
    <row r="148" spans="1:110" ht="5.0999999999999996" customHeight="1" x14ac:dyDescent="0.25">
      <c r="A148" s="104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189" t="str">
        <f>Диплом!B9</f>
        <v>А.А. Марголис</v>
      </c>
      <c r="AG148" s="189"/>
      <c r="AH148" s="189"/>
      <c r="AI148" s="189"/>
      <c r="AJ148" s="189"/>
      <c r="AK148" s="189"/>
      <c r="AL148" s="189"/>
      <c r="AM148" s="189"/>
      <c r="AN148" s="189"/>
      <c r="AO148" s="189"/>
      <c r="AP148" s="189"/>
      <c r="AQ148" s="189"/>
      <c r="AR148" s="189"/>
      <c r="AS148" s="189"/>
      <c r="AT148" s="189"/>
      <c r="AU148" s="189"/>
      <c r="AV148" s="189"/>
      <c r="AW148" s="189"/>
      <c r="AX148" s="189"/>
      <c r="AY148" s="189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104"/>
      <c r="DF148" s="29"/>
    </row>
    <row r="149" spans="1:110" ht="5.0999999999999996" customHeight="1" x14ac:dyDescent="0.25">
      <c r="A149" s="104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189"/>
      <c r="AG149" s="189"/>
      <c r="AH149" s="189"/>
      <c r="AI149" s="189"/>
      <c r="AJ149" s="189"/>
      <c r="AK149" s="189"/>
      <c r="AL149" s="189"/>
      <c r="AM149" s="189"/>
      <c r="AN149" s="189"/>
      <c r="AO149" s="189"/>
      <c r="AP149" s="189"/>
      <c r="AQ149" s="189"/>
      <c r="AR149" s="189"/>
      <c r="AS149" s="189"/>
      <c r="AT149" s="189"/>
      <c r="AU149" s="189"/>
      <c r="AV149" s="189"/>
      <c r="AW149" s="189"/>
      <c r="AX149" s="189"/>
      <c r="AY149" s="189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  <c r="DE149" s="104"/>
      <c r="DF149" s="29"/>
    </row>
    <row r="150" spans="1:110" ht="5.0999999999999996" customHeight="1" x14ac:dyDescent="0.25">
      <c r="A150" s="104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189"/>
      <c r="AG150" s="189"/>
      <c r="AH150" s="189"/>
      <c r="AI150" s="189"/>
      <c r="AJ150" s="189"/>
      <c r="AK150" s="189"/>
      <c r="AL150" s="189"/>
      <c r="AM150" s="189"/>
      <c r="AN150" s="189"/>
      <c r="AO150" s="189"/>
      <c r="AP150" s="189"/>
      <c r="AQ150" s="189"/>
      <c r="AR150" s="189"/>
      <c r="AS150" s="189"/>
      <c r="AT150" s="189"/>
      <c r="AU150" s="189"/>
      <c r="AV150" s="189"/>
      <c r="AW150" s="189"/>
      <c r="AX150" s="189"/>
      <c r="AY150" s="189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104"/>
      <c r="DF150" s="29"/>
    </row>
    <row r="151" spans="1:110" ht="5.0999999999999996" customHeight="1" x14ac:dyDescent="0.25">
      <c r="A151" s="104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189"/>
      <c r="AG151" s="189"/>
      <c r="AH151" s="189"/>
      <c r="AI151" s="189"/>
      <c r="AJ151" s="189"/>
      <c r="AK151" s="189"/>
      <c r="AL151" s="189"/>
      <c r="AM151" s="189"/>
      <c r="AN151" s="189"/>
      <c r="AO151" s="189"/>
      <c r="AP151" s="189"/>
      <c r="AQ151" s="189"/>
      <c r="AR151" s="189"/>
      <c r="AS151" s="189"/>
      <c r="AT151" s="189"/>
      <c r="AU151" s="189"/>
      <c r="AV151" s="189"/>
      <c r="AW151" s="189"/>
      <c r="AX151" s="189"/>
      <c r="AY151" s="189"/>
      <c r="AZ151" s="30"/>
      <c r="BA151" s="30"/>
      <c r="BB151" s="3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11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  <c r="DE151" s="104"/>
      <c r="DF151" s="29"/>
    </row>
    <row r="152" spans="1:110" ht="5.0999999999999996" customHeight="1" x14ac:dyDescent="0.3">
      <c r="A152" s="104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30"/>
      <c r="BA152" s="30"/>
      <c r="BB152" s="30"/>
      <c r="BC152" s="40"/>
      <c r="BD152" s="40"/>
      <c r="BE152" s="169" t="str">
        <f>Диплом!B7</f>
        <v>YYYY/Б24</v>
      </c>
      <c r="BF152" s="169"/>
      <c r="BG152" s="169"/>
      <c r="BH152" s="169"/>
      <c r="BI152" s="169"/>
      <c r="BJ152" s="169"/>
      <c r="BK152" s="169"/>
      <c r="BL152" s="169"/>
      <c r="BM152" s="169"/>
      <c r="BN152" s="169"/>
      <c r="BO152" s="169"/>
      <c r="BP152" s="169"/>
      <c r="BQ152" s="169"/>
      <c r="BR152" s="169"/>
      <c r="BS152" s="169"/>
      <c r="BT152" s="169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104"/>
      <c r="DF152" s="29"/>
    </row>
    <row r="153" spans="1:110" ht="5.0999999999999996" customHeight="1" x14ac:dyDescent="0.25">
      <c r="A153" s="104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0"/>
      <c r="BA153" s="30"/>
      <c r="BB153" s="30"/>
      <c r="BC153" s="40"/>
      <c r="BD153" s="40"/>
      <c r="BE153" s="169"/>
      <c r="BF153" s="169"/>
      <c r="BG153" s="169"/>
      <c r="BH153" s="169"/>
      <c r="BI153" s="169"/>
      <c r="BJ153" s="169"/>
      <c r="BK153" s="169"/>
      <c r="BL153" s="169"/>
      <c r="BM153" s="169"/>
      <c r="BN153" s="169"/>
      <c r="BO153" s="169"/>
      <c r="BP153" s="169"/>
      <c r="BQ153" s="169"/>
      <c r="BR153" s="169"/>
      <c r="BS153" s="169"/>
      <c r="BT153" s="169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104"/>
      <c r="DF153" s="29"/>
    </row>
    <row r="154" spans="1:110" ht="5.0999999999999996" customHeight="1" x14ac:dyDescent="0.25">
      <c r="A154" s="104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0"/>
      <c r="BA154" s="30"/>
      <c r="BB154" s="30"/>
      <c r="BC154" s="40"/>
      <c r="BD154" s="40"/>
      <c r="BE154" s="169"/>
      <c r="BF154" s="169"/>
      <c r="BG154" s="169"/>
      <c r="BH154" s="169"/>
      <c r="BI154" s="169"/>
      <c r="BJ154" s="169"/>
      <c r="BK154" s="169"/>
      <c r="BL154" s="169"/>
      <c r="BM154" s="169"/>
      <c r="BN154" s="169"/>
      <c r="BO154" s="169"/>
      <c r="BP154" s="169"/>
      <c r="BQ154" s="169"/>
      <c r="BR154" s="169"/>
      <c r="BS154" s="169"/>
      <c r="BT154" s="169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104"/>
      <c r="DF154" s="29"/>
    </row>
    <row r="155" spans="1:110" ht="5.0999999999999996" customHeight="1" x14ac:dyDescent="0.25">
      <c r="A155" s="104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0"/>
      <c r="BA155" s="30"/>
      <c r="BB155" s="30"/>
      <c r="BC155" s="30"/>
      <c r="BD155" s="30"/>
      <c r="BE155" s="169"/>
      <c r="BF155" s="169"/>
      <c r="BG155" s="169"/>
      <c r="BH155" s="169"/>
      <c r="BI155" s="169"/>
      <c r="BJ155" s="169"/>
      <c r="BK155" s="169"/>
      <c r="BL155" s="169"/>
      <c r="BM155" s="169"/>
      <c r="BN155" s="169"/>
      <c r="BO155" s="169"/>
      <c r="BP155" s="169"/>
      <c r="BQ155" s="169"/>
      <c r="BR155" s="169"/>
      <c r="BS155" s="169"/>
      <c r="BT155" s="169"/>
      <c r="BU155" s="47"/>
      <c r="BV155" s="47"/>
      <c r="BW155" s="47"/>
      <c r="BX155" s="47"/>
      <c r="BY155" s="47"/>
      <c r="BZ155" s="47"/>
      <c r="CA155" s="47"/>
      <c r="CB155" s="47"/>
      <c r="CC155" s="47"/>
      <c r="CD155" s="47"/>
      <c r="CE155" s="47"/>
      <c r="CF155" s="47"/>
      <c r="CG155" s="47"/>
      <c r="CH155" s="47"/>
      <c r="CI155" s="47"/>
      <c r="CJ155" s="47"/>
      <c r="CK155" s="47"/>
      <c r="CL155" s="47"/>
      <c r="CM155" s="47"/>
      <c r="CN155" s="47"/>
      <c r="CO155" s="47"/>
      <c r="CP155" s="47"/>
      <c r="CQ155" s="47"/>
      <c r="CR155" s="47"/>
      <c r="CS155" s="47"/>
      <c r="CT155" s="47"/>
      <c r="CU155" s="47"/>
      <c r="CV155" s="47"/>
      <c r="CW155" s="47"/>
      <c r="CX155" s="47"/>
      <c r="CY155" s="47"/>
      <c r="CZ155" s="47"/>
      <c r="DA155" s="109"/>
      <c r="DB155" s="109"/>
      <c r="DC155" s="109"/>
      <c r="DD155" s="30"/>
      <c r="DE155" s="104"/>
      <c r="DF155" s="29"/>
    </row>
    <row r="156" spans="1:110" ht="5.0999999999999996" customHeight="1" x14ac:dyDescent="0.25">
      <c r="A156" s="104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47"/>
      <c r="BV156" s="47"/>
      <c r="BW156" s="174" t="str">
        <f>'1 Обладатель диплома'!B17 &amp;" "&amp;'1 Обладатель диплома'!B18&amp;" "&amp;'1 Обладатель диплома'!B19&amp;" "&amp;'1 Обладатель диплома'!B20</f>
        <v xml:space="preserve">   </v>
      </c>
      <c r="BX156" s="174"/>
      <c r="BY156" s="174"/>
      <c r="BZ156" s="174"/>
      <c r="CA156" s="174"/>
      <c r="CB156" s="174"/>
      <c r="CC156" s="174"/>
      <c r="CD156" s="174"/>
      <c r="CE156" s="174"/>
      <c r="CF156" s="174"/>
      <c r="CG156" s="174"/>
      <c r="CH156" s="174"/>
      <c r="CI156" s="174"/>
      <c r="CJ156" s="174"/>
      <c r="CK156" s="174"/>
      <c r="CL156" s="174"/>
      <c r="CM156" s="174"/>
      <c r="CN156" s="174"/>
      <c r="CO156" s="174"/>
      <c r="CP156" s="174"/>
      <c r="CQ156" s="174"/>
      <c r="CR156" s="174"/>
      <c r="CS156" s="174"/>
      <c r="CT156" s="174"/>
      <c r="CU156" s="174"/>
      <c r="CV156" s="174"/>
      <c r="CW156" s="174"/>
      <c r="CX156" s="174"/>
      <c r="CY156" s="174"/>
      <c r="CZ156" s="174"/>
      <c r="DA156" s="174"/>
      <c r="DB156" s="174"/>
      <c r="DC156" s="174"/>
      <c r="DD156" s="30"/>
      <c r="DE156" s="104"/>
      <c r="DF156" s="29"/>
    </row>
    <row r="157" spans="1:110" ht="5.0999999999999996" customHeight="1" x14ac:dyDescent="0.25">
      <c r="A157" s="104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47"/>
      <c r="BV157" s="47"/>
      <c r="BW157" s="174"/>
      <c r="BX157" s="174"/>
      <c r="BY157" s="174"/>
      <c r="BZ157" s="174"/>
      <c r="CA157" s="174"/>
      <c r="CB157" s="174"/>
      <c r="CC157" s="174"/>
      <c r="CD157" s="174"/>
      <c r="CE157" s="174"/>
      <c r="CF157" s="174"/>
      <c r="CG157" s="174"/>
      <c r="CH157" s="174"/>
      <c r="CI157" s="174"/>
      <c r="CJ157" s="174"/>
      <c r="CK157" s="174"/>
      <c r="CL157" s="174"/>
      <c r="CM157" s="174"/>
      <c r="CN157" s="174"/>
      <c r="CO157" s="174"/>
      <c r="CP157" s="174"/>
      <c r="CQ157" s="174"/>
      <c r="CR157" s="174"/>
      <c r="CS157" s="174"/>
      <c r="CT157" s="174"/>
      <c r="CU157" s="174"/>
      <c r="CV157" s="174"/>
      <c r="CW157" s="174"/>
      <c r="CX157" s="174"/>
      <c r="CY157" s="174"/>
      <c r="CZ157" s="174"/>
      <c r="DA157" s="174"/>
      <c r="DB157" s="174"/>
      <c r="DC157" s="174"/>
      <c r="DD157" s="30"/>
      <c r="DE157" s="104"/>
      <c r="DF157" s="29"/>
    </row>
    <row r="158" spans="1:110" ht="5.0999999999999996" customHeight="1" x14ac:dyDescent="0.25">
      <c r="A158" s="104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108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47"/>
      <c r="BV158" s="47"/>
      <c r="BW158" s="174"/>
      <c r="BX158" s="174"/>
      <c r="BY158" s="174"/>
      <c r="BZ158" s="174"/>
      <c r="CA158" s="174"/>
      <c r="CB158" s="174"/>
      <c r="CC158" s="174"/>
      <c r="CD158" s="174"/>
      <c r="CE158" s="174"/>
      <c r="CF158" s="174"/>
      <c r="CG158" s="174"/>
      <c r="CH158" s="174"/>
      <c r="CI158" s="174"/>
      <c r="CJ158" s="174"/>
      <c r="CK158" s="174"/>
      <c r="CL158" s="174"/>
      <c r="CM158" s="174"/>
      <c r="CN158" s="174"/>
      <c r="CO158" s="174"/>
      <c r="CP158" s="174"/>
      <c r="CQ158" s="174"/>
      <c r="CR158" s="174"/>
      <c r="CS158" s="174"/>
      <c r="CT158" s="174"/>
      <c r="CU158" s="174"/>
      <c r="CV158" s="174"/>
      <c r="CW158" s="174"/>
      <c r="CX158" s="174"/>
      <c r="CY158" s="174"/>
      <c r="CZ158" s="174"/>
      <c r="DA158" s="174"/>
      <c r="DB158" s="174"/>
      <c r="DC158" s="174"/>
      <c r="DD158" s="30"/>
      <c r="DE158" s="104"/>
      <c r="DF158" s="29"/>
    </row>
    <row r="159" spans="1:110" ht="5.0999999999999996" customHeight="1" x14ac:dyDescent="0.25">
      <c r="A159" s="104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108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174"/>
      <c r="BX159" s="174"/>
      <c r="BY159" s="174"/>
      <c r="BZ159" s="174"/>
      <c r="CA159" s="174"/>
      <c r="CB159" s="174"/>
      <c r="CC159" s="174"/>
      <c r="CD159" s="174"/>
      <c r="CE159" s="174"/>
      <c r="CF159" s="174"/>
      <c r="CG159" s="174"/>
      <c r="CH159" s="174"/>
      <c r="CI159" s="174"/>
      <c r="CJ159" s="174"/>
      <c r="CK159" s="174"/>
      <c r="CL159" s="174"/>
      <c r="CM159" s="174"/>
      <c r="CN159" s="174"/>
      <c r="CO159" s="174"/>
      <c r="CP159" s="174"/>
      <c r="CQ159" s="174"/>
      <c r="CR159" s="174"/>
      <c r="CS159" s="174"/>
      <c r="CT159" s="174"/>
      <c r="CU159" s="174"/>
      <c r="CV159" s="174"/>
      <c r="CW159" s="174"/>
      <c r="CX159" s="174"/>
      <c r="CY159" s="174"/>
      <c r="CZ159" s="174"/>
      <c r="DA159" s="174"/>
      <c r="DB159" s="174"/>
      <c r="DC159" s="174"/>
      <c r="DD159" s="30"/>
      <c r="DE159" s="104"/>
      <c r="DF159" s="29"/>
    </row>
    <row r="160" spans="1:110" ht="5.0999999999999996" customHeight="1" x14ac:dyDescent="0.25">
      <c r="A160" s="104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108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  <c r="DE160" s="104"/>
      <c r="DF160" s="29"/>
    </row>
    <row r="161" spans="1:110" ht="5.0999999999999996" customHeight="1" x14ac:dyDescent="0.25">
      <c r="A161" s="104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108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104"/>
      <c r="DF161" s="29"/>
    </row>
    <row r="162" spans="1:110" ht="5.0999999999999996" customHeight="1" x14ac:dyDescent="0.25">
      <c r="A162" s="104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108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104"/>
      <c r="DF162" s="29"/>
    </row>
    <row r="163" spans="1:110" ht="5.0999999999999996" customHeight="1" x14ac:dyDescent="0.25">
      <c r="A163" s="104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108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11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104"/>
      <c r="DF163" s="29"/>
    </row>
    <row r="164" spans="1:110" ht="5.0999999999999996" customHeight="1" x14ac:dyDescent="0.25">
      <c r="A164" s="104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108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11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104"/>
      <c r="DF164" s="29"/>
    </row>
    <row r="165" spans="1:110" ht="5.0999999999999996" customHeight="1" x14ac:dyDescent="0.25">
      <c r="A165" s="104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108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40"/>
      <c r="BD165" s="40"/>
      <c r="BE165" s="188" t="str">
        <f>Диплом!B8</f>
        <v xml:space="preserve"> YY июня 2024 года</v>
      </c>
      <c r="BF165" s="188"/>
      <c r="BG165" s="188"/>
      <c r="BH165" s="188"/>
      <c r="BI165" s="188"/>
      <c r="BJ165" s="188"/>
      <c r="BK165" s="188"/>
      <c r="BL165" s="188"/>
      <c r="BM165" s="188"/>
      <c r="BN165" s="188"/>
      <c r="BO165" s="188"/>
      <c r="BP165" s="188"/>
      <c r="BQ165" s="188"/>
      <c r="BR165" s="188"/>
      <c r="BS165" s="188"/>
      <c r="BT165" s="188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104"/>
      <c r="DF165" s="29"/>
    </row>
    <row r="166" spans="1:110" ht="5.0999999999999996" customHeight="1" x14ac:dyDescent="0.25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  <c r="AE166" s="104"/>
      <c r="AF166" s="104"/>
      <c r="AG166" s="104"/>
      <c r="AH166" s="104"/>
      <c r="AI166" s="104"/>
      <c r="AJ166" s="104"/>
      <c r="AK166" s="104"/>
      <c r="AL166" s="104"/>
      <c r="AM166" s="104"/>
      <c r="AN166" s="104"/>
      <c r="AO166" s="104"/>
      <c r="AP166" s="104"/>
      <c r="AQ166" s="104"/>
      <c r="AR166" s="104"/>
      <c r="AS166" s="104"/>
      <c r="AT166" s="104"/>
      <c r="AU166" s="104"/>
      <c r="AV166" s="104"/>
      <c r="AW166" s="104"/>
      <c r="AX166" s="104"/>
      <c r="AY166" s="104"/>
      <c r="AZ166" s="104"/>
      <c r="BA166" s="104"/>
      <c r="BB166" s="104"/>
      <c r="BC166" s="48"/>
      <c r="BD166" s="48"/>
      <c r="BE166" s="188"/>
      <c r="BF166" s="188"/>
      <c r="BG166" s="188"/>
      <c r="BH166" s="188"/>
      <c r="BI166" s="188"/>
      <c r="BJ166" s="188"/>
      <c r="BK166" s="188"/>
      <c r="BL166" s="188"/>
      <c r="BM166" s="188"/>
      <c r="BN166" s="188"/>
      <c r="BO166" s="188"/>
      <c r="BP166" s="188"/>
      <c r="BQ166" s="188"/>
      <c r="BR166" s="188"/>
      <c r="BS166" s="188"/>
      <c r="BT166" s="188"/>
      <c r="BU166" s="104"/>
      <c r="BV166" s="104"/>
      <c r="BW166" s="104"/>
      <c r="BX166" s="104"/>
      <c r="BY166" s="104"/>
      <c r="BZ166" s="104"/>
      <c r="CA166" s="104"/>
      <c r="CB166" s="104"/>
      <c r="CC166" s="104"/>
      <c r="CD166" s="104"/>
      <c r="CE166" s="104"/>
      <c r="CF166" s="104"/>
      <c r="CG166" s="104"/>
      <c r="CH166" s="104"/>
      <c r="CI166" s="104"/>
      <c r="CJ166" s="104"/>
      <c r="CK166" s="104"/>
      <c r="CL166" s="104"/>
      <c r="CM166" s="104"/>
      <c r="CN166" s="104"/>
      <c r="CO166" s="104"/>
      <c r="CP166" s="104"/>
      <c r="CQ166" s="104"/>
      <c r="CR166" s="104"/>
      <c r="CS166" s="104"/>
      <c r="CT166" s="104"/>
      <c r="CU166" s="104"/>
      <c r="CV166" s="104"/>
      <c r="CW166" s="104"/>
      <c r="CX166" s="104"/>
      <c r="CY166" s="104"/>
      <c r="CZ166" s="104"/>
      <c r="DA166" s="104"/>
      <c r="DB166" s="104"/>
      <c r="DC166" s="104"/>
      <c r="DD166" s="104"/>
      <c r="DE166" s="28"/>
      <c r="DF166" s="29"/>
    </row>
    <row r="167" spans="1:110" ht="5.0999999999999996" customHeigh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188"/>
      <c r="BF167" s="188"/>
      <c r="BG167" s="188"/>
      <c r="BH167" s="188"/>
      <c r="BI167" s="188"/>
      <c r="BJ167" s="188"/>
      <c r="BK167" s="188"/>
      <c r="BL167" s="188"/>
      <c r="BM167" s="188"/>
      <c r="BN167" s="188"/>
      <c r="BO167" s="188"/>
      <c r="BP167" s="188"/>
      <c r="BQ167" s="188"/>
      <c r="BR167" s="188"/>
      <c r="BS167" s="188"/>
      <c r="BT167" s="188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D167" s="29"/>
      <c r="DE167" s="29"/>
      <c r="DF167" s="29"/>
    </row>
    <row r="168" spans="1:110" ht="5.0999999999999996" customHeight="1" x14ac:dyDescent="0.2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29"/>
      <c r="CE168" s="29"/>
      <c r="CF168" s="29"/>
      <c r="CG168" s="29"/>
      <c r="CH168" s="29"/>
      <c r="CI168" s="29"/>
      <c r="CJ168" s="29"/>
      <c r="CK168" s="29"/>
      <c r="CL168" s="29"/>
      <c r="CM168" s="29"/>
      <c r="CN168" s="29"/>
      <c r="CO168" s="29"/>
      <c r="CP168" s="29"/>
      <c r="CQ168" s="29"/>
      <c r="CR168" s="29"/>
      <c r="CS168" s="29"/>
      <c r="CT168" s="29"/>
      <c r="CU168" s="29"/>
      <c r="CV168" s="29"/>
      <c r="CW168" s="29"/>
      <c r="CX168" s="29"/>
      <c r="CY168" s="29"/>
      <c r="CZ168" s="29"/>
      <c r="DA168" s="29"/>
      <c r="DB168" s="29"/>
      <c r="DC168" s="29"/>
      <c r="DD168" s="29"/>
      <c r="DE168" s="29"/>
      <c r="DF168" s="29"/>
    </row>
    <row r="169" spans="1:110" ht="5.0999999999999996" customHeight="1" x14ac:dyDescent="0.2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29"/>
      <c r="BZ169" s="29"/>
      <c r="CA169" s="29"/>
      <c r="CB169" s="29"/>
      <c r="CC169" s="29"/>
      <c r="CD169" s="29"/>
      <c r="CE169" s="29"/>
      <c r="CF169" s="29"/>
      <c r="CG169" s="29"/>
      <c r="CH169" s="29"/>
      <c r="CI169" s="29"/>
      <c r="CJ169" s="29"/>
      <c r="CK169" s="29"/>
      <c r="CL169" s="29"/>
      <c r="CM169" s="29"/>
      <c r="CN169" s="29"/>
      <c r="CO169" s="29"/>
      <c r="CP169" s="29"/>
      <c r="CQ169" s="29"/>
      <c r="CR169" s="29"/>
      <c r="CS169" s="29"/>
      <c r="CT169" s="29"/>
      <c r="CU169" s="29"/>
      <c r="CV169" s="29"/>
      <c r="CW169" s="29"/>
      <c r="CX169" s="29"/>
      <c r="CY169" s="29"/>
      <c r="CZ169" s="29"/>
      <c r="DA169" s="29"/>
      <c r="DB169" s="29"/>
      <c r="DC169" s="29"/>
      <c r="DD169" s="29"/>
      <c r="DE169" s="29"/>
      <c r="DF169" s="29"/>
    </row>
    <row r="170" spans="1:110" ht="5.0999999999999996" customHeight="1" x14ac:dyDescent="0.2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  <c r="BV170" s="29"/>
      <c r="BW170" s="29"/>
      <c r="BX170" s="29"/>
      <c r="BY170" s="29"/>
      <c r="BZ170" s="29"/>
      <c r="CA170" s="29"/>
      <c r="CB170" s="29"/>
      <c r="CC170" s="29"/>
      <c r="CD170" s="29"/>
      <c r="CE170" s="29"/>
      <c r="CF170" s="29"/>
      <c r="CG170" s="29"/>
      <c r="CH170" s="29"/>
      <c r="CI170" s="29"/>
      <c r="CJ170" s="29"/>
      <c r="CK170" s="29"/>
      <c r="CL170" s="29"/>
      <c r="CM170" s="29"/>
      <c r="CN170" s="29"/>
      <c r="CO170" s="29"/>
      <c r="CP170" s="29"/>
      <c r="CQ170" s="29"/>
      <c r="CR170" s="29"/>
      <c r="CS170" s="29"/>
      <c r="CT170" s="29"/>
      <c r="CU170" s="29"/>
      <c r="CV170" s="29"/>
      <c r="CW170" s="29"/>
      <c r="CX170" s="29"/>
      <c r="CY170" s="29"/>
      <c r="CZ170" s="29"/>
      <c r="DA170" s="29"/>
      <c r="DB170" s="29"/>
      <c r="DC170" s="29"/>
      <c r="DD170" s="29"/>
      <c r="DE170" s="29"/>
      <c r="DF170" s="29"/>
    </row>
    <row r="171" spans="1:110" ht="5.0999999999999996" customHeight="1" x14ac:dyDescent="0.2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  <c r="BV171" s="29"/>
      <c r="BW171" s="29"/>
      <c r="BX171" s="29"/>
      <c r="BY171" s="29"/>
      <c r="BZ171" s="29"/>
      <c r="CA171" s="29"/>
      <c r="CB171" s="29"/>
      <c r="CC171" s="29"/>
      <c r="CD171" s="29"/>
      <c r="CE171" s="29"/>
      <c r="CF171" s="29"/>
      <c r="CG171" s="29"/>
      <c r="CH171" s="29"/>
      <c r="CI171" s="29"/>
      <c r="CJ171" s="29"/>
      <c r="CK171" s="29"/>
      <c r="CL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B171" s="29"/>
      <c r="DC171" s="29"/>
      <c r="DD171" s="29"/>
      <c r="DE171" s="29"/>
      <c r="DF171" s="29"/>
    </row>
  </sheetData>
  <sheetProtection password="DBF4" sheet="1" objects="1" scenarios="1"/>
  <mergeCells count="135">
    <mergeCell ref="CF22:CY25"/>
    <mergeCell ref="AO29:AX30"/>
    <mergeCell ref="A31:A32"/>
    <mergeCell ref="E31:AK32"/>
    <mergeCell ref="AO31:AX32"/>
    <mergeCell ref="A14:A15"/>
    <mergeCell ref="A17:A18"/>
    <mergeCell ref="A19:A20"/>
    <mergeCell ref="A21:A22"/>
    <mergeCell ref="A23:A24"/>
    <mergeCell ref="A25:A26"/>
    <mergeCell ref="A2:A3"/>
    <mergeCell ref="A4:A5"/>
    <mergeCell ref="A6:A7"/>
    <mergeCell ref="A8:A9"/>
    <mergeCell ref="A10:A11"/>
    <mergeCell ref="A12:A13"/>
    <mergeCell ref="A27:A28"/>
    <mergeCell ref="A29:A30"/>
    <mergeCell ref="E29:AK30"/>
    <mergeCell ref="A33:A34"/>
    <mergeCell ref="E33:AK34"/>
    <mergeCell ref="AO33:AX34"/>
    <mergeCell ref="A35:A36"/>
    <mergeCell ref="E35:AK36"/>
    <mergeCell ref="AO35:AX36"/>
    <mergeCell ref="A37:A38"/>
    <mergeCell ref="E37:AK38"/>
    <mergeCell ref="AO37:AX38"/>
    <mergeCell ref="A45:A46"/>
    <mergeCell ref="E45:AK46"/>
    <mergeCell ref="AO45:AX46"/>
    <mergeCell ref="A47:A48"/>
    <mergeCell ref="E47:AK48"/>
    <mergeCell ref="AO47:AX48"/>
    <mergeCell ref="A39:A40"/>
    <mergeCell ref="E39:AK40"/>
    <mergeCell ref="AO39:AX40"/>
    <mergeCell ref="A41:A42"/>
    <mergeCell ref="E41:AK42"/>
    <mergeCell ref="AO41:AX42"/>
    <mergeCell ref="A43:A44"/>
    <mergeCell ref="E43:AK44"/>
    <mergeCell ref="AO43:AX44"/>
    <mergeCell ref="A49:A50"/>
    <mergeCell ref="E49:AK50"/>
    <mergeCell ref="AO49:AX50"/>
    <mergeCell ref="A51:A52"/>
    <mergeCell ref="E51:AK52"/>
    <mergeCell ref="AO51:AX52"/>
    <mergeCell ref="E61:AK62"/>
    <mergeCell ref="AO61:AX62"/>
    <mergeCell ref="E63:AK64"/>
    <mergeCell ref="AO63:AX64"/>
    <mergeCell ref="E53:AK54"/>
    <mergeCell ref="AO53:AX54"/>
    <mergeCell ref="E55:AK56"/>
    <mergeCell ref="AO55:AX56"/>
    <mergeCell ref="E67:AK68"/>
    <mergeCell ref="AO67:AX68"/>
    <mergeCell ref="E69:AK70"/>
    <mergeCell ref="AO69:AX70"/>
    <mergeCell ref="E71:AK72"/>
    <mergeCell ref="AO71:AX72"/>
    <mergeCell ref="BW56:DC73"/>
    <mergeCell ref="E57:AK58"/>
    <mergeCell ref="AO57:AX58"/>
    <mergeCell ref="E59:AK60"/>
    <mergeCell ref="AO59:AX60"/>
    <mergeCell ref="E65:AK66"/>
    <mergeCell ref="AO65:AX66"/>
    <mergeCell ref="BE51:BT84"/>
    <mergeCell ref="E73:AK74"/>
    <mergeCell ref="AO73:AX74"/>
    <mergeCell ref="E79:AK80"/>
    <mergeCell ref="AO79:AX80"/>
    <mergeCell ref="E81:AK82"/>
    <mergeCell ref="AO81:AX82"/>
    <mergeCell ref="E83:AK84"/>
    <mergeCell ref="AO83:AX84"/>
    <mergeCell ref="E75:AK76"/>
    <mergeCell ref="AO75:AX76"/>
    <mergeCell ref="E77:AK78"/>
    <mergeCell ref="AO77:AX78"/>
    <mergeCell ref="AO97:AX98"/>
    <mergeCell ref="E105:AK106"/>
    <mergeCell ref="AO105:AX106"/>
    <mergeCell ref="BW106:DC109"/>
    <mergeCell ref="E107:AK108"/>
    <mergeCell ref="AO107:AX108"/>
    <mergeCell ref="E85:AK86"/>
    <mergeCell ref="AO85:AX86"/>
    <mergeCell ref="BE85:BT88"/>
    <mergeCell ref="E87:AK88"/>
    <mergeCell ref="AO87:AX88"/>
    <mergeCell ref="E89:AK90"/>
    <mergeCell ref="AO89:AX90"/>
    <mergeCell ref="BE165:BT167"/>
    <mergeCell ref="E135:AY136"/>
    <mergeCell ref="BE136:BT139"/>
    <mergeCell ref="BE140:BT143"/>
    <mergeCell ref="AF148:AY151"/>
    <mergeCell ref="BE152:BT155"/>
    <mergeCell ref="BW156:DC159"/>
    <mergeCell ref="E123:AY124"/>
    <mergeCell ref="E125:AY126"/>
    <mergeCell ref="E127:AY128"/>
    <mergeCell ref="E129:AY130"/>
    <mergeCell ref="E131:AY132"/>
    <mergeCell ref="E133:AY134"/>
    <mergeCell ref="E137:AY138"/>
    <mergeCell ref="CF42:CY46"/>
    <mergeCell ref="BE129:BT131"/>
    <mergeCell ref="CF28:CY32"/>
    <mergeCell ref="CF35:CY40"/>
    <mergeCell ref="BW110:DC123"/>
    <mergeCell ref="E117:AY118"/>
    <mergeCell ref="BE118:BT121"/>
    <mergeCell ref="E119:AY120"/>
    <mergeCell ref="E121:AY122"/>
    <mergeCell ref="E99:AK100"/>
    <mergeCell ref="AO99:AX100"/>
    <mergeCell ref="E101:AK102"/>
    <mergeCell ref="AO101:AX102"/>
    <mergeCell ref="E103:AK104"/>
    <mergeCell ref="AO103:AX104"/>
    <mergeCell ref="BW90:DC95"/>
    <mergeCell ref="E91:AK92"/>
    <mergeCell ref="AO91:AX92"/>
    <mergeCell ref="E93:AK94"/>
    <mergeCell ref="AO93:AX94"/>
    <mergeCell ref="E95:AK96"/>
    <mergeCell ref="AO95:AX96"/>
    <mergeCell ref="BW96:DC105"/>
    <mergeCell ref="E97:AK98"/>
  </mergeCells>
  <pageMargins left="0" right="0" top="0" bottom="0" header="0" footer="0"/>
  <pageSetup paperSize="8" orientation="landscape" r:id="rId1"/>
  <headerFooter scaleWithDoc="0"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tabColor rgb="FFFF0000"/>
  </sheetPr>
  <dimension ref="A1:BC84"/>
  <sheetViews>
    <sheetView topLeftCell="A64" zoomScaleNormal="100" workbookViewId="0">
      <selection activeCell="AE80" sqref="AE80:AP80"/>
    </sheetView>
  </sheetViews>
  <sheetFormatPr defaultRowHeight="15" x14ac:dyDescent="0.25"/>
  <cols>
    <col min="1" max="1" width="4" customWidth="1"/>
    <col min="2" max="15" width="3.7109375" customWidth="1"/>
    <col min="16" max="18" width="3.7109375" style="1" customWidth="1"/>
    <col min="19" max="54" width="3.7109375" customWidth="1"/>
    <col min="55" max="55" width="4" customWidth="1"/>
  </cols>
  <sheetData>
    <row r="1" spans="1:55" x14ac:dyDescent="0.25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28"/>
    </row>
    <row r="2" spans="1:55" ht="9.9499999999999993" customHeight="1" x14ac:dyDescent="0.25">
      <c r="A2" s="91"/>
      <c r="B2" s="90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90"/>
      <c r="Q2" s="91"/>
      <c r="R2" s="90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104"/>
    </row>
    <row r="3" spans="1:55" ht="9.9499999999999993" customHeight="1" x14ac:dyDescent="0.25">
      <c r="A3" s="91"/>
      <c r="B3" s="90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90"/>
      <c r="Q3" s="91"/>
      <c r="R3" s="90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104"/>
    </row>
    <row r="4" spans="1:55" ht="9.9499999999999993" customHeight="1" x14ac:dyDescent="0.25">
      <c r="A4" s="91"/>
      <c r="B4" s="90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90"/>
      <c r="Q4" s="91"/>
      <c r="R4" s="90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104"/>
    </row>
    <row r="5" spans="1:55" ht="9.9499999999999993" customHeight="1" x14ac:dyDescent="0.25">
      <c r="A5" s="91"/>
      <c r="B5" s="90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90"/>
      <c r="Q5" s="91"/>
      <c r="R5" s="90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104"/>
    </row>
    <row r="6" spans="1:55" ht="9.9499999999999993" customHeight="1" x14ac:dyDescent="0.25">
      <c r="A6" s="91"/>
      <c r="B6" s="90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90"/>
      <c r="Q6" s="91"/>
      <c r="R6" s="90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104"/>
    </row>
    <row r="7" spans="1:55" ht="9.9499999999999993" customHeight="1" x14ac:dyDescent="0.25">
      <c r="A7" s="91"/>
      <c r="B7" s="90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90"/>
      <c r="Q7" s="91"/>
      <c r="R7" s="90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104"/>
    </row>
    <row r="8" spans="1:55" ht="9.9499999999999993" customHeight="1" x14ac:dyDescent="0.25">
      <c r="A8" s="91"/>
      <c r="B8" s="90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90"/>
      <c r="Q8" s="91"/>
      <c r="R8" s="90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104"/>
    </row>
    <row r="9" spans="1:55" ht="9.9499999999999993" customHeight="1" x14ac:dyDescent="0.25">
      <c r="A9" s="91"/>
      <c r="B9" s="90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90"/>
      <c r="Q9" s="91"/>
      <c r="R9" s="90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104"/>
    </row>
    <row r="10" spans="1:55" ht="9.9499999999999993" customHeight="1" x14ac:dyDescent="0.25">
      <c r="A10" s="91"/>
      <c r="B10" s="90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90"/>
      <c r="Q10" s="91"/>
      <c r="R10" s="90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104"/>
    </row>
    <row r="11" spans="1:55" ht="9.9499999999999993" customHeight="1" x14ac:dyDescent="0.25">
      <c r="A11" s="91"/>
      <c r="B11" s="90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90"/>
      <c r="Q11" s="91"/>
      <c r="R11" s="90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104"/>
    </row>
    <row r="12" spans="1:55" ht="9.9499999999999993" customHeight="1" x14ac:dyDescent="0.25">
      <c r="A12" s="91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1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104"/>
    </row>
    <row r="13" spans="1:55" ht="9.9499999999999993" customHeight="1" x14ac:dyDescent="0.25">
      <c r="A13" s="91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1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193" t="str">
        <f>IF(LEN(TRIM('3 Освоение программы'!B67))=0," ",'3 Освоение программы'!B67)</f>
        <v>Дисциплина 66</v>
      </c>
      <c r="AF13" s="193"/>
      <c r="AG13" s="193"/>
      <c r="AH13" s="193"/>
      <c r="AI13" s="193"/>
      <c r="AJ13" s="193"/>
      <c r="AK13" s="193"/>
      <c r="AL13" s="193"/>
      <c r="AM13" s="193"/>
      <c r="AN13" s="193"/>
      <c r="AO13" s="193"/>
      <c r="AP13" s="193"/>
      <c r="AQ13" s="93"/>
      <c r="AR13" s="183" t="str">
        <f>IF(LEN(TRIM('3 Освоение программы'!C67))=0," ",'3 Освоение программы'!C67)</f>
        <v>?? з.е.</v>
      </c>
      <c r="AS13" s="183"/>
      <c r="AT13" s="183"/>
      <c r="AU13" s="183"/>
      <c r="AV13" s="93"/>
      <c r="AW13" s="183" t="str">
        <f>IF(LEN(TRIM('3 Освоение программы'!D67))=0," ",'3 Освоение программы'!D67)</f>
        <v>оценка</v>
      </c>
      <c r="AX13" s="183"/>
      <c r="AY13" s="183"/>
      <c r="AZ13" s="183"/>
      <c r="BA13" s="183"/>
      <c r="BB13" s="90"/>
      <c r="BC13" s="104"/>
    </row>
    <row r="14" spans="1:55" ht="9.9499999999999993" customHeight="1" x14ac:dyDescent="0.25">
      <c r="A14" s="91"/>
      <c r="B14" s="90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0"/>
      <c r="O14" s="90"/>
      <c r="P14" s="92"/>
      <c r="Q14" s="92"/>
      <c r="R14" s="92"/>
      <c r="S14" s="90"/>
      <c r="T14" s="90"/>
      <c r="U14" s="92"/>
      <c r="V14" s="92"/>
      <c r="W14" s="92"/>
      <c r="X14" s="92"/>
      <c r="Y14" s="90"/>
      <c r="Z14" s="90"/>
      <c r="AA14" s="90"/>
      <c r="AB14" s="90"/>
      <c r="AC14" s="90"/>
      <c r="AD14" s="90"/>
      <c r="AE14" s="193" t="str">
        <f>IF(LEN(TRIM('3 Освоение программы'!B68))=0," ",'3 Освоение программы'!B68)</f>
        <v>Дисциплина 67</v>
      </c>
      <c r="AF14" s="193"/>
      <c r="AG14" s="193"/>
      <c r="AH14" s="193"/>
      <c r="AI14" s="193"/>
      <c r="AJ14" s="193"/>
      <c r="AK14" s="193"/>
      <c r="AL14" s="193"/>
      <c r="AM14" s="193"/>
      <c r="AN14" s="193"/>
      <c r="AO14" s="193"/>
      <c r="AP14" s="193"/>
      <c r="AQ14" s="93"/>
      <c r="AR14" s="183" t="str">
        <f>IF(LEN(TRIM('3 Освоение программы'!C68))=0," ",'3 Освоение программы'!C68)</f>
        <v>?? з.е.</v>
      </c>
      <c r="AS14" s="183"/>
      <c r="AT14" s="183"/>
      <c r="AU14" s="183"/>
      <c r="AV14" s="93"/>
      <c r="AW14" s="183" t="str">
        <f>IF(LEN(TRIM('3 Освоение программы'!D68))=0," ",'3 Освоение программы'!D68)</f>
        <v>оценка</v>
      </c>
      <c r="AX14" s="183"/>
      <c r="AY14" s="183"/>
      <c r="AZ14" s="183"/>
      <c r="BA14" s="183"/>
      <c r="BB14" s="90"/>
      <c r="BC14" s="104"/>
    </row>
    <row r="15" spans="1:55" ht="9.9499999999999993" customHeight="1" x14ac:dyDescent="0.25">
      <c r="A15" s="91"/>
      <c r="B15" s="90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0"/>
      <c r="O15" s="90"/>
      <c r="P15" s="92"/>
      <c r="Q15" s="92"/>
      <c r="R15" s="92"/>
      <c r="S15" s="90"/>
      <c r="T15" s="90"/>
      <c r="U15" s="92"/>
      <c r="V15" s="92"/>
      <c r="W15" s="92"/>
      <c r="X15" s="92"/>
      <c r="Y15" s="90"/>
      <c r="Z15" s="90"/>
      <c r="AA15" s="90"/>
      <c r="AB15" s="90"/>
      <c r="AC15" s="90"/>
      <c r="AD15" s="90"/>
      <c r="AE15" s="193" t="str">
        <f>IF(LEN(TRIM('3 Освоение программы'!B69))=0," ",'3 Освоение программы'!B69)</f>
        <v>Дисциплина 68</v>
      </c>
      <c r="AF15" s="193"/>
      <c r="AG15" s="193"/>
      <c r="AH15" s="193"/>
      <c r="AI15" s="193"/>
      <c r="AJ15" s="193"/>
      <c r="AK15" s="193"/>
      <c r="AL15" s="193"/>
      <c r="AM15" s="193"/>
      <c r="AN15" s="193"/>
      <c r="AO15" s="193"/>
      <c r="AP15" s="193"/>
      <c r="AQ15" s="93"/>
      <c r="AR15" s="183" t="str">
        <f>IF(LEN(TRIM('3 Освоение программы'!C69))=0," ",'3 Освоение программы'!C69)</f>
        <v>?? з.е.</v>
      </c>
      <c r="AS15" s="183"/>
      <c r="AT15" s="183"/>
      <c r="AU15" s="183"/>
      <c r="AV15" s="93"/>
      <c r="AW15" s="183" t="str">
        <f>IF(LEN(TRIM('3 Освоение программы'!D69))=0," ",'3 Освоение программы'!D69)</f>
        <v>оценка</v>
      </c>
      <c r="AX15" s="183"/>
      <c r="AY15" s="183"/>
      <c r="AZ15" s="183"/>
      <c r="BA15" s="183"/>
      <c r="BB15" s="90"/>
      <c r="BC15" s="104"/>
    </row>
    <row r="16" spans="1:55" ht="9.9499999999999993" customHeight="1" x14ac:dyDescent="0.25">
      <c r="A16" s="91"/>
      <c r="B16" s="90"/>
      <c r="C16" s="179" t="str">
        <f>IF(LEN(TRIM('3 Освоение программы'!B2))=0," ",'3 Освоение программы'!B2)</f>
        <v>Дисциплина 1</v>
      </c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15"/>
      <c r="P16" s="180" t="str">
        <f>IF(LEN(TRIM('3 Освоение программы'!C2))=0," ",'3 Освоение программы'!C2)</f>
        <v>?? з.е.</v>
      </c>
      <c r="Q16" s="180"/>
      <c r="R16" s="180"/>
      <c r="S16" s="114"/>
      <c r="T16" s="114"/>
      <c r="U16" s="180" t="str">
        <f>IF(LEN(TRIM('3 Освоение программы'!D2))=0," ",'3 Освоение программы'!D2)</f>
        <v>оценка</v>
      </c>
      <c r="V16" s="180"/>
      <c r="W16" s="180"/>
      <c r="X16" s="180"/>
      <c r="Y16" s="90"/>
      <c r="Z16" s="90"/>
      <c r="AA16" s="90"/>
      <c r="AB16" s="90"/>
      <c r="AC16" s="90"/>
      <c r="AD16" s="90"/>
      <c r="AE16" s="193" t="str">
        <f>IF(LEN(TRIM('3 Освоение программы'!B70))=0," ",'3 Освоение программы'!B70)</f>
        <v>Дисциплина 69</v>
      </c>
      <c r="AF16" s="193"/>
      <c r="AG16" s="193"/>
      <c r="AH16" s="193"/>
      <c r="AI16" s="193"/>
      <c r="AJ16" s="193"/>
      <c r="AK16" s="193"/>
      <c r="AL16" s="193"/>
      <c r="AM16" s="193"/>
      <c r="AN16" s="193"/>
      <c r="AO16" s="193"/>
      <c r="AP16" s="193"/>
      <c r="AQ16" s="93"/>
      <c r="AR16" s="183" t="str">
        <f>IF(LEN(TRIM('3 Освоение программы'!C70))=0," ",'3 Освоение программы'!C70)</f>
        <v>?? з.е.</v>
      </c>
      <c r="AS16" s="183"/>
      <c r="AT16" s="183"/>
      <c r="AU16" s="183"/>
      <c r="AV16" s="93"/>
      <c r="AW16" s="183" t="str">
        <f>IF(LEN(TRIM('3 Освоение программы'!D70))=0," ",'3 Освоение программы'!D70)</f>
        <v>оценка</v>
      </c>
      <c r="AX16" s="183"/>
      <c r="AY16" s="183"/>
      <c r="AZ16" s="183"/>
      <c r="BA16" s="183"/>
      <c r="BB16" s="90"/>
      <c r="BC16" s="104"/>
    </row>
    <row r="17" spans="1:55" ht="9.9499999999999993" customHeight="1" x14ac:dyDescent="0.25">
      <c r="A17" s="91"/>
      <c r="B17" s="90"/>
      <c r="C17" s="179" t="str">
        <f>IF(LEN(TRIM('3 Освоение программы'!B3))=0," ",'3 Освоение программы'!B3)</f>
        <v>Дисциплина 2</v>
      </c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15"/>
      <c r="P17" s="180" t="str">
        <f>IF(LEN(TRIM('3 Освоение программы'!C3))=0," ",'3 Освоение программы'!C3)</f>
        <v>?? з.е.</v>
      </c>
      <c r="Q17" s="180"/>
      <c r="R17" s="180"/>
      <c r="S17" s="114"/>
      <c r="T17" s="114"/>
      <c r="U17" s="180" t="str">
        <f>IF(LEN(TRIM('3 Освоение программы'!D3))=0," ",'3 Освоение программы'!D3)</f>
        <v>оценка</v>
      </c>
      <c r="V17" s="180"/>
      <c r="W17" s="180"/>
      <c r="X17" s="180"/>
      <c r="Y17" s="90"/>
      <c r="Z17" s="90"/>
      <c r="AA17" s="90"/>
      <c r="AB17" s="90"/>
      <c r="AC17" s="90"/>
      <c r="AD17" s="90"/>
      <c r="AE17" s="193" t="str">
        <f>IF(LEN(TRIM('3 Освоение программы'!B71))=0," ",'3 Освоение программы'!B71)</f>
        <v>Дисциплина 70</v>
      </c>
      <c r="AF17" s="193"/>
      <c r="AG17" s="193"/>
      <c r="AH17" s="193"/>
      <c r="AI17" s="193"/>
      <c r="AJ17" s="193"/>
      <c r="AK17" s="193"/>
      <c r="AL17" s="193"/>
      <c r="AM17" s="193"/>
      <c r="AN17" s="193"/>
      <c r="AO17" s="193"/>
      <c r="AP17" s="193"/>
      <c r="AQ17" s="93"/>
      <c r="AR17" s="183" t="str">
        <f>IF(LEN(TRIM('3 Освоение программы'!C71))=0," ",'3 Освоение программы'!C71)</f>
        <v>?? з.е.</v>
      </c>
      <c r="AS17" s="183"/>
      <c r="AT17" s="183"/>
      <c r="AU17" s="183"/>
      <c r="AV17" s="93"/>
      <c r="AW17" s="183" t="str">
        <f>IF(LEN(TRIM('3 Освоение программы'!D71))=0," ",'3 Освоение программы'!D71)</f>
        <v>оценка</v>
      </c>
      <c r="AX17" s="183"/>
      <c r="AY17" s="183"/>
      <c r="AZ17" s="183"/>
      <c r="BA17" s="183"/>
      <c r="BB17" s="90"/>
      <c r="BC17" s="104"/>
    </row>
    <row r="18" spans="1:55" ht="9.9499999999999993" customHeight="1" x14ac:dyDescent="0.25">
      <c r="A18" s="91"/>
      <c r="B18" s="90"/>
      <c r="C18" s="179" t="str">
        <f>IF(LEN(TRIM('3 Освоение программы'!B4))=0," ",'3 Освоение программы'!B4)</f>
        <v>Дисциплина 3</v>
      </c>
      <c r="D18" s="179"/>
      <c r="E18" s="179"/>
      <c r="F18" s="179"/>
      <c r="G18" s="179"/>
      <c r="H18" s="179"/>
      <c r="I18" s="179"/>
      <c r="J18" s="179"/>
      <c r="K18" s="179"/>
      <c r="L18" s="179"/>
      <c r="M18" s="179"/>
      <c r="N18" s="179"/>
      <c r="O18" s="115"/>
      <c r="P18" s="180" t="str">
        <f>IF(LEN(TRIM('3 Освоение программы'!C4))=0," ",'3 Освоение программы'!C4)</f>
        <v>?? з.е.</v>
      </c>
      <c r="Q18" s="180"/>
      <c r="R18" s="180"/>
      <c r="S18" s="114"/>
      <c r="T18" s="114"/>
      <c r="U18" s="180" t="str">
        <f>IF(LEN(TRIM('3 Освоение программы'!D4))=0," ",'3 Освоение программы'!D4)</f>
        <v>оценка</v>
      </c>
      <c r="V18" s="180"/>
      <c r="W18" s="180"/>
      <c r="X18" s="180"/>
      <c r="Y18" s="90"/>
      <c r="Z18" s="90"/>
      <c r="AA18" s="90"/>
      <c r="AB18" s="90"/>
      <c r="AC18" s="90"/>
      <c r="AD18" s="90"/>
      <c r="AE18" s="193" t="str">
        <f>IF(LEN(TRIM('3 Освоение программы'!B72))=0," ",'3 Освоение программы'!B72)</f>
        <v>Практики</v>
      </c>
      <c r="AF18" s="193"/>
      <c r="AG18" s="193"/>
      <c r="AH18" s="193"/>
      <c r="AI18" s="193"/>
      <c r="AJ18" s="193"/>
      <c r="AK18" s="193"/>
      <c r="AL18" s="193"/>
      <c r="AM18" s="193"/>
      <c r="AN18" s="193"/>
      <c r="AO18" s="193"/>
      <c r="AP18" s="193"/>
      <c r="AQ18" s="93"/>
      <c r="AR18" s="183" t="str">
        <f>IF(LEN(TRIM('3 Освоение программы'!C72))=0," ",'3 Освоение программы'!C72)</f>
        <v>?? з.е.</v>
      </c>
      <c r="AS18" s="183"/>
      <c r="AT18" s="183"/>
      <c r="AU18" s="183"/>
      <c r="AV18" s="93"/>
      <c r="AW18" s="183" t="str">
        <f>IF(LEN(TRIM('3 Освоение программы'!D72))=0," ",'3 Освоение программы'!D72)</f>
        <v>x</v>
      </c>
      <c r="AX18" s="183"/>
      <c r="AY18" s="183"/>
      <c r="AZ18" s="183"/>
      <c r="BA18" s="183"/>
      <c r="BB18" s="90"/>
      <c r="BC18" s="104"/>
    </row>
    <row r="19" spans="1:55" ht="9.9499999999999993" customHeight="1" x14ac:dyDescent="0.25">
      <c r="A19" s="91"/>
      <c r="B19" s="90"/>
      <c r="C19" s="179" t="str">
        <f>IF(LEN(TRIM('3 Освоение программы'!B5))=0," ",'3 Освоение программы'!B5)</f>
        <v>Дисциплина 4</v>
      </c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15"/>
      <c r="P19" s="180" t="str">
        <f>IF(LEN(TRIM('3 Освоение программы'!C5))=0," ",'3 Освоение программы'!C5)</f>
        <v>?? з.е.</v>
      </c>
      <c r="Q19" s="180"/>
      <c r="R19" s="180"/>
      <c r="S19" s="114"/>
      <c r="T19" s="114"/>
      <c r="U19" s="180" t="str">
        <f>IF(LEN(TRIM('3 Освоение программы'!D5))=0," ",'3 Освоение программы'!D5)</f>
        <v>оценка</v>
      </c>
      <c r="V19" s="180"/>
      <c r="W19" s="180"/>
      <c r="X19" s="180"/>
      <c r="Y19" s="90"/>
      <c r="Z19" s="90"/>
      <c r="AA19" s="90"/>
      <c r="AB19" s="90"/>
      <c r="AC19" s="90"/>
      <c r="AD19" s="90"/>
      <c r="AE19" s="193" t="str">
        <f>IF(LEN(TRIM('3 Освоение программы'!B73))=0," ",'3 Освоение программы'!B73)</f>
        <v>в том числе:</v>
      </c>
      <c r="AF19" s="193"/>
      <c r="AG19" s="193"/>
      <c r="AH19" s="193"/>
      <c r="AI19" s="193"/>
      <c r="AJ19" s="193"/>
      <c r="AK19" s="193"/>
      <c r="AL19" s="193"/>
      <c r="AM19" s="193"/>
      <c r="AN19" s="193"/>
      <c r="AO19" s="193"/>
      <c r="AP19" s="193"/>
      <c r="AQ19" s="93"/>
      <c r="AR19" s="183" t="str">
        <f>IF(LEN(TRIM('3 Освоение программы'!C73))=0," ",'3 Освоение программы'!C73)</f>
        <v xml:space="preserve"> </v>
      </c>
      <c r="AS19" s="183"/>
      <c r="AT19" s="183"/>
      <c r="AU19" s="183"/>
      <c r="AV19" s="93"/>
      <c r="AW19" s="183" t="str">
        <f>IF(LEN(TRIM('3 Освоение программы'!D73))=0," ",'3 Освоение программы'!D73)</f>
        <v xml:space="preserve"> </v>
      </c>
      <c r="AX19" s="183"/>
      <c r="AY19" s="183"/>
      <c r="AZ19" s="183"/>
      <c r="BA19" s="183"/>
      <c r="BB19" s="90"/>
      <c r="BC19" s="104"/>
    </row>
    <row r="20" spans="1:55" ht="9.9499999999999993" customHeight="1" x14ac:dyDescent="0.25">
      <c r="A20" s="91"/>
      <c r="B20" s="90"/>
      <c r="C20" s="179" t="str">
        <f>IF(LEN(TRIM('3 Освоение программы'!B6))=0," ",'3 Освоение программы'!B6)</f>
        <v>Дисциплина 5</v>
      </c>
      <c r="D20" s="179"/>
      <c r="E20" s="179"/>
      <c r="F20" s="179"/>
      <c r="G20" s="179"/>
      <c r="H20" s="179"/>
      <c r="I20" s="179"/>
      <c r="J20" s="179"/>
      <c r="K20" s="179"/>
      <c r="L20" s="179"/>
      <c r="M20" s="179"/>
      <c r="N20" s="179"/>
      <c r="O20" s="115"/>
      <c r="P20" s="180" t="str">
        <f>IF(LEN(TRIM('3 Освоение программы'!C6))=0," ",'3 Освоение программы'!C6)</f>
        <v>?? з.е.</v>
      </c>
      <c r="Q20" s="180"/>
      <c r="R20" s="180"/>
      <c r="S20" s="114"/>
      <c r="T20" s="114"/>
      <c r="U20" s="180" t="str">
        <f>IF(LEN(TRIM('3 Освоение программы'!D6))=0," ",'3 Освоение программы'!D6)</f>
        <v>оценка</v>
      </c>
      <c r="V20" s="180"/>
      <c r="W20" s="180"/>
      <c r="X20" s="180"/>
      <c r="Y20" s="90"/>
      <c r="Z20" s="90"/>
      <c r="AA20" s="90"/>
      <c r="AB20" s="90"/>
      <c r="AC20" s="90"/>
      <c r="AD20" s="90"/>
      <c r="AE20" s="193" t="str">
        <f>IF(LEN(TRIM('3 Освоение программы'!B74))=0," ",'3 Освоение программы'!B74)</f>
        <v>Вид практики, тип практики</v>
      </c>
      <c r="AF20" s="193"/>
      <c r="AG20" s="193"/>
      <c r="AH20" s="193"/>
      <c r="AI20" s="193"/>
      <c r="AJ20" s="193"/>
      <c r="AK20" s="193"/>
      <c r="AL20" s="193"/>
      <c r="AM20" s="193"/>
      <c r="AN20" s="193"/>
      <c r="AO20" s="193"/>
      <c r="AP20" s="193"/>
      <c r="AQ20" s="93"/>
      <c r="AR20" s="183" t="str">
        <f>IF(LEN(TRIM('3 Освоение программы'!C74))=0," ",'3 Освоение программы'!C74)</f>
        <v>?? з.е.</v>
      </c>
      <c r="AS20" s="183"/>
      <c r="AT20" s="183"/>
      <c r="AU20" s="183"/>
      <c r="AV20" s="93"/>
      <c r="AW20" s="183" t="str">
        <f>IF(LEN(TRIM('3 Освоение программы'!D74))=0," ",'3 Освоение программы'!D74)</f>
        <v>оценка</v>
      </c>
      <c r="AX20" s="183"/>
      <c r="AY20" s="183"/>
      <c r="AZ20" s="183"/>
      <c r="BA20" s="183"/>
      <c r="BB20" s="90"/>
      <c r="BC20" s="104"/>
    </row>
    <row r="21" spans="1:55" ht="9.9499999999999993" customHeight="1" x14ac:dyDescent="0.25">
      <c r="A21" s="91"/>
      <c r="B21" s="90"/>
      <c r="C21" s="179" t="str">
        <f>IF(LEN(TRIM('3 Освоение программы'!B7))=0," ",'3 Освоение программы'!B7)</f>
        <v>Дисциплина 6</v>
      </c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15"/>
      <c r="P21" s="180" t="str">
        <f>IF(LEN(TRIM('3 Освоение программы'!C7))=0," ",'3 Освоение программы'!C7)</f>
        <v>?? з.е.</v>
      </c>
      <c r="Q21" s="180"/>
      <c r="R21" s="180"/>
      <c r="S21" s="114"/>
      <c r="T21" s="114"/>
      <c r="U21" s="180" t="str">
        <f>IF(LEN(TRIM('3 Освоение программы'!D7))=0," ",'3 Освоение программы'!D7)</f>
        <v>оценка</v>
      </c>
      <c r="V21" s="180"/>
      <c r="W21" s="180"/>
      <c r="X21" s="180"/>
      <c r="Y21" s="90"/>
      <c r="Z21" s="90"/>
      <c r="AA21" s="90"/>
      <c r="AB21" s="90"/>
      <c r="AC21" s="90"/>
      <c r="AD21" s="90"/>
      <c r="AE21" s="193" t="str">
        <f>IF(LEN(TRIM('3 Освоение программы'!B75))=0," ",'3 Освоение программы'!B75)</f>
        <v>Вид практики, тип практики</v>
      </c>
      <c r="AF21" s="193"/>
      <c r="AG21" s="193"/>
      <c r="AH21" s="193"/>
      <c r="AI21" s="193"/>
      <c r="AJ21" s="193"/>
      <c r="AK21" s="193"/>
      <c r="AL21" s="193"/>
      <c r="AM21" s="193"/>
      <c r="AN21" s="193"/>
      <c r="AO21" s="193"/>
      <c r="AP21" s="193"/>
      <c r="AQ21" s="93"/>
      <c r="AR21" s="183" t="str">
        <f>IF(LEN(TRIM('3 Освоение программы'!C75))=0," ",'3 Освоение программы'!C75)</f>
        <v>?? з.е.</v>
      </c>
      <c r="AS21" s="183"/>
      <c r="AT21" s="183"/>
      <c r="AU21" s="183"/>
      <c r="AV21" s="93"/>
      <c r="AW21" s="183" t="str">
        <f>IF(LEN(TRIM('3 Освоение программы'!D75))=0," ",'3 Освоение программы'!D75)</f>
        <v>оценка</v>
      </c>
      <c r="AX21" s="183"/>
      <c r="AY21" s="183"/>
      <c r="AZ21" s="183"/>
      <c r="BA21" s="183"/>
      <c r="BB21" s="90"/>
      <c r="BC21" s="104"/>
    </row>
    <row r="22" spans="1:55" ht="9.9499999999999993" customHeight="1" x14ac:dyDescent="0.25">
      <c r="A22" s="91"/>
      <c r="B22" s="90"/>
      <c r="C22" s="179" t="str">
        <f>IF(LEN(TRIM('3 Освоение программы'!B8))=0," ",'3 Освоение программы'!B8)</f>
        <v>Дисциплина 7</v>
      </c>
      <c r="D22" s="179"/>
      <c r="E22" s="179"/>
      <c r="F22" s="179"/>
      <c r="G22" s="179"/>
      <c r="H22" s="179"/>
      <c r="I22" s="179"/>
      <c r="J22" s="179"/>
      <c r="K22" s="179"/>
      <c r="L22" s="179"/>
      <c r="M22" s="179"/>
      <c r="N22" s="179"/>
      <c r="O22" s="115"/>
      <c r="P22" s="180" t="str">
        <f>IF(LEN(TRIM('3 Освоение программы'!C8))=0," ",'3 Освоение программы'!C8)</f>
        <v>?? з.е.</v>
      </c>
      <c r="Q22" s="180"/>
      <c r="R22" s="180"/>
      <c r="S22" s="114"/>
      <c r="T22" s="114"/>
      <c r="U22" s="180" t="str">
        <f>IF(LEN(TRIM('3 Освоение программы'!D8))=0," ",'3 Освоение программы'!D8)</f>
        <v>оценка</v>
      </c>
      <c r="V22" s="180"/>
      <c r="W22" s="180"/>
      <c r="X22" s="180"/>
      <c r="Y22" s="90"/>
      <c r="Z22" s="90"/>
      <c r="AA22" s="90"/>
      <c r="AB22" s="90"/>
      <c r="AC22" s="90"/>
      <c r="AD22" s="90"/>
      <c r="AE22" s="193" t="str">
        <f>IF(LEN(TRIM('3 Освоение программы'!B76))=0," ",'3 Освоение программы'!B76)</f>
        <v>Вид практики, тип практики</v>
      </c>
      <c r="AF22" s="193"/>
      <c r="AG22" s="193"/>
      <c r="AH22" s="193"/>
      <c r="AI22" s="193"/>
      <c r="AJ22" s="193"/>
      <c r="AK22" s="193"/>
      <c r="AL22" s="193"/>
      <c r="AM22" s="193"/>
      <c r="AN22" s="193"/>
      <c r="AO22" s="193"/>
      <c r="AP22" s="193"/>
      <c r="AQ22" s="93"/>
      <c r="AR22" s="183" t="str">
        <f>IF(LEN(TRIM('3 Освоение программы'!C76))=0," ",'3 Освоение программы'!C76)</f>
        <v>?? з.е.</v>
      </c>
      <c r="AS22" s="183"/>
      <c r="AT22" s="183"/>
      <c r="AU22" s="183"/>
      <c r="AV22" s="93"/>
      <c r="AW22" s="183" t="str">
        <f>IF(LEN(TRIM('3 Освоение программы'!D76))=0," ",'3 Освоение программы'!D76)</f>
        <v>оценка</v>
      </c>
      <c r="AX22" s="183"/>
      <c r="AY22" s="183"/>
      <c r="AZ22" s="183"/>
      <c r="BA22" s="183"/>
      <c r="BB22" s="90"/>
      <c r="BC22" s="104"/>
    </row>
    <row r="23" spans="1:55" ht="9.9499999999999993" customHeight="1" x14ac:dyDescent="0.25">
      <c r="A23" s="91"/>
      <c r="B23" s="90"/>
      <c r="C23" s="179" t="str">
        <f>IF(LEN(TRIM('3 Освоение программы'!B9))=0," ",'3 Освоение программы'!B9)</f>
        <v>Дисциплина 8</v>
      </c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15"/>
      <c r="P23" s="180" t="str">
        <f>IF(LEN(TRIM('3 Освоение программы'!C9))=0," ",'3 Освоение программы'!C9)</f>
        <v>?? з.е.</v>
      </c>
      <c r="Q23" s="180"/>
      <c r="R23" s="180"/>
      <c r="S23" s="114"/>
      <c r="T23" s="114"/>
      <c r="U23" s="180" t="str">
        <f>IF(LEN(TRIM('3 Освоение программы'!D9))=0," ",'3 Освоение программы'!D9)</f>
        <v>оценка</v>
      </c>
      <c r="V23" s="180"/>
      <c r="W23" s="180"/>
      <c r="X23" s="180"/>
      <c r="Y23" s="90"/>
      <c r="Z23" s="90"/>
      <c r="AA23" s="90"/>
      <c r="AB23" s="90"/>
      <c r="AC23" s="90"/>
      <c r="AD23" s="90"/>
      <c r="AE23" s="193" t="str">
        <f>IF(LEN(TRIM('3 Освоение программы'!B77))=0," ",'3 Освоение программы'!B77)</f>
        <v>Вид практики, тип практики</v>
      </c>
      <c r="AF23" s="193"/>
      <c r="AG23" s="193"/>
      <c r="AH23" s="193"/>
      <c r="AI23" s="193"/>
      <c r="AJ23" s="193"/>
      <c r="AK23" s="193"/>
      <c r="AL23" s="193"/>
      <c r="AM23" s="193"/>
      <c r="AN23" s="193"/>
      <c r="AO23" s="193"/>
      <c r="AP23" s="193"/>
      <c r="AQ23" s="93"/>
      <c r="AR23" s="183" t="str">
        <f>IF(LEN(TRIM('3 Освоение программы'!C77))=0," ",'3 Освоение программы'!C77)</f>
        <v>?? з.е.</v>
      </c>
      <c r="AS23" s="183"/>
      <c r="AT23" s="183"/>
      <c r="AU23" s="183"/>
      <c r="AV23" s="93"/>
      <c r="AW23" s="183" t="str">
        <f>IF(LEN(TRIM('3 Освоение программы'!D77))=0," ",'3 Освоение программы'!D77)</f>
        <v>оценка</v>
      </c>
      <c r="AX23" s="183"/>
      <c r="AY23" s="183"/>
      <c r="AZ23" s="183"/>
      <c r="BA23" s="183"/>
      <c r="BB23" s="90"/>
      <c r="BC23" s="104"/>
    </row>
    <row r="24" spans="1:55" ht="9.9499999999999993" customHeight="1" x14ac:dyDescent="0.25">
      <c r="A24" s="91"/>
      <c r="B24" s="90"/>
      <c r="C24" s="179" t="str">
        <f>IF(LEN(TRIM('3 Освоение программы'!B10))=0," ",'3 Освоение программы'!B10)</f>
        <v>Дисциплина 9</v>
      </c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15"/>
      <c r="P24" s="180" t="str">
        <f>IF(LEN(TRIM('3 Освоение программы'!C10))=0," ",'3 Освоение программы'!C10)</f>
        <v>?? з.е.</v>
      </c>
      <c r="Q24" s="180"/>
      <c r="R24" s="180"/>
      <c r="S24" s="114"/>
      <c r="T24" s="114"/>
      <c r="U24" s="180" t="str">
        <f>IF(LEN(TRIM('3 Освоение программы'!D10))=0," ",'3 Освоение программы'!D10)</f>
        <v>оценка</v>
      </c>
      <c r="V24" s="180"/>
      <c r="W24" s="180"/>
      <c r="X24" s="180"/>
      <c r="Y24" s="90"/>
      <c r="Z24" s="90"/>
      <c r="AA24" s="90"/>
      <c r="AB24" s="90"/>
      <c r="AC24" s="90"/>
      <c r="AD24" s="90"/>
      <c r="AE24" s="193" t="str">
        <f>IF(LEN(TRIM('3 Освоение программы'!B78))=0," ",'3 Освоение программы'!B78)</f>
        <v>Вид практики, тип практики</v>
      </c>
      <c r="AF24" s="193"/>
      <c r="AG24" s="193"/>
      <c r="AH24" s="193"/>
      <c r="AI24" s="193"/>
      <c r="AJ24" s="193"/>
      <c r="AK24" s="193"/>
      <c r="AL24" s="193"/>
      <c r="AM24" s="193"/>
      <c r="AN24" s="193"/>
      <c r="AO24" s="193"/>
      <c r="AP24" s="193"/>
      <c r="AQ24" s="93"/>
      <c r="AR24" s="183" t="str">
        <f>IF(LEN(TRIM('3 Освоение программы'!C78))=0," ",'3 Освоение программы'!C78)</f>
        <v>?? з.е.</v>
      </c>
      <c r="AS24" s="183"/>
      <c r="AT24" s="183"/>
      <c r="AU24" s="183"/>
      <c r="AV24" s="93"/>
      <c r="AW24" s="183" t="str">
        <f>IF(LEN(TRIM('3 Освоение программы'!D78))=0," ",'3 Освоение программы'!D78)</f>
        <v>оценка</v>
      </c>
      <c r="AX24" s="183"/>
      <c r="AY24" s="183"/>
      <c r="AZ24" s="183"/>
      <c r="BA24" s="183"/>
      <c r="BB24" s="90"/>
      <c r="BC24" s="104"/>
    </row>
    <row r="25" spans="1:55" ht="9.9499999999999993" customHeight="1" x14ac:dyDescent="0.25">
      <c r="A25" s="91"/>
      <c r="B25" s="90"/>
      <c r="C25" s="179" t="str">
        <f>IF(LEN(TRIM('3 Освоение программы'!B11))=0," ",'3 Освоение программы'!B11)</f>
        <v>Дисциплина 10</v>
      </c>
      <c r="D25" s="179"/>
      <c r="E25" s="179"/>
      <c r="F25" s="179"/>
      <c r="G25" s="179"/>
      <c r="H25" s="179"/>
      <c r="I25" s="179"/>
      <c r="J25" s="179"/>
      <c r="K25" s="179"/>
      <c r="L25" s="179"/>
      <c r="M25" s="179"/>
      <c r="N25" s="179"/>
      <c r="O25" s="115"/>
      <c r="P25" s="180" t="str">
        <f>IF(LEN(TRIM('3 Освоение программы'!C11))=0," ",'3 Освоение программы'!C11)</f>
        <v>?? з.е.</v>
      </c>
      <c r="Q25" s="180"/>
      <c r="R25" s="180"/>
      <c r="S25" s="114"/>
      <c r="T25" s="114"/>
      <c r="U25" s="180" t="str">
        <f>IF(LEN(TRIM('3 Освоение программы'!D11))=0," ",'3 Освоение программы'!D11)</f>
        <v>оценка</v>
      </c>
      <c r="V25" s="180"/>
      <c r="W25" s="180"/>
      <c r="X25" s="180"/>
      <c r="Y25" s="90"/>
      <c r="Z25" s="90"/>
      <c r="AA25" s="90"/>
      <c r="AB25" s="90"/>
      <c r="AC25" s="90"/>
      <c r="AD25" s="90"/>
      <c r="AE25" s="193" t="str">
        <f>IF(LEN(TRIM('3 Освоение программы'!B79))=0," ",'3 Освоение программы'!B79)</f>
        <v>Государственная итоговая аттестация</v>
      </c>
      <c r="AF25" s="193"/>
      <c r="AG25" s="193"/>
      <c r="AH25" s="193"/>
      <c r="AI25" s="193"/>
      <c r="AJ25" s="193"/>
      <c r="AK25" s="193"/>
      <c r="AL25" s="193"/>
      <c r="AM25" s="193"/>
      <c r="AN25" s="193"/>
      <c r="AO25" s="193"/>
      <c r="AP25" s="193"/>
      <c r="AQ25" s="93"/>
      <c r="AR25" s="183" t="str">
        <f>IF(LEN(TRIM('3 Освоение программы'!C79))=0," ",'3 Освоение программы'!C79)</f>
        <v>??  з.е.</v>
      </c>
      <c r="AS25" s="183"/>
      <c r="AT25" s="183"/>
      <c r="AU25" s="183"/>
      <c r="AV25" s="93"/>
      <c r="AW25" s="183" t="str">
        <f>IF(LEN(TRIM('3 Освоение программы'!D79))=0," ",'3 Освоение программы'!D79)</f>
        <v>х</v>
      </c>
      <c r="AX25" s="183"/>
      <c r="AY25" s="183"/>
      <c r="AZ25" s="183"/>
      <c r="BA25" s="183"/>
      <c r="BB25" s="90"/>
      <c r="BC25" s="104"/>
    </row>
    <row r="26" spans="1:55" ht="9.9499999999999993" customHeight="1" x14ac:dyDescent="0.25">
      <c r="A26" s="91"/>
      <c r="B26" s="90"/>
      <c r="C26" s="179" t="str">
        <f>IF(LEN(TRIM('3 Освоение программы'!B12))=0," ",'3 Освоение программы'!B12)</f>
        <v>Дисциплина 11</v>
      </c>
      <c r="D26" s="179"/>
      <c r="E26" s="179"/>
      <c r="F26" s="179"/>
      <c r="G26" s="179"/>
      <c r="H26" s="179"/>
      <c r="I26" s="179"/>
      <c r="J26" s="179"/>
      <c r="K26" s="179"/>
      <c r="L26" s="179"/>
      <c r="M26" s="179"/>
      <c r="N26" s="179"/>
      <c r="O26" s="115"/>
      <c r="P26" s="180" t="str">
        <f>IF(LEN(TRIM('3 Освоение программы'!C12))=0," ",'3 Освоение программы'!C12)</f>
        <v>?? з.е.</v>
      </c>
      <c r="Q26" s="180"/>
      <c r="R26" s="180"/>
      <c r="S26" s="114"/>
      <c r="T26" s="114"/>
      <c r="U26" s="180" t="str">
        <f>IF(LEN(TRIM('3 Освоение программы'!D12))=0," ",'3 Освоение программы'!D12)</f>
        <v>оценка</v>
      </c>
      <c r="V26" s="180"/>
      <c r="W26" s="180"/>
      <c r="X26" s="180"/>
      <c r="Y26" s="90"/>
      <c r="Z26" s="90"/>
      <c r="AA26" s="90"/>
      <c r="AB26" s="90"/>
      <c r="AC26" s="90"/>
      <c r="AD26" s="90"/>
      <c r="AE26" s="193" t="str">
        <f>IF(LEN(TRIM('3 Освоение программы'!B80))=0," ",'3 Освоение программы'!B80)</f>
        <v>в том числе:</v>
      </c>
      <c r="AF26" s="193"/>
      <c r="AG26" s="193"/>
      <c r="AH26" s="193"/>
      <c r="AI26" s="193"/>
      <c r="AJ26" s="193"/>
      <c r="AK26" s="193"/>
      <c r="AL26" s="193"/>
      <c r="AM26" s="193"/>
      <c r="AN26" s="193"/>
      <c r="AO26" s="193"/>
      <c r="AP26" s="193"/>
      <c r="AQ26" s="93"/>
      <c r="AR26" s="183" t="str">
        <f>IF(LEN(TRIM('3 Освоение программы'!C80))=0," ",'3 Освоение программы'!C80)</f>
        <v xml:space="preserve"> </v>
      </c>
      <c r="AS26" s="183"/>
      <c r="AT26" s="183"/>
      <c r="AU26" s="183"/>
      <c r="AV26" s="93"/>
      <c r="AW26" s="183" t="str">
        <f>IF(LEN(TRIM('3 Освоение программы'!D80))=0," ",'3 Освоение программы'!D80)</f>
        <v xml:space="preserve"> </v>
      </c>
      <c r="AX26" s="183"/>
      <c r="AY26" s="183"/>
      <c r="AZ26" s="183"/>
      <c r="BA26" s="183"/>
      <c r="BB26" s="90"/>
      <c r="BC26" s="104"/>
    </row>
    <row r="27" spans="1:55" ht="9.9499999999999993" customHeight="1" x14ac:dyDescent="0.25">
      <c r="A27" s="91"/>
      <c r="B27" s="90"/>
      <c r="C27" s="179" t="str">
        <f>IF(LEN(TRIM('3 Освоение программы'!B13))=0," ",'3 Освоение программы'!B13)</f>
        <v>Дисциплина 12</v>
      </c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15"/>
      <c r="P27" s="180" t="str">
        <f>IF(LEN(TRIM('3 Освоение программы'!C13))=0," ",'3 Освоение программы'!C13)</f>
        <v>?? з.е.</v>
      </c>
      <c r="Q27" s="180"/>
      <c r="R27" s="180"/>
      <c r="S27" s="114"/>
      <c r="T27" s="114"/>
      <c r="U27" s="180" t="str">
        <f>IF(LEN(TRIM('3 Освоение программы'!D13))=0," ",'3 Освоение программы'!D13)</f>
        <v>оценка</v>
      </c>
      <c r="V27" s="180"/>
      <c r="W27" s="180"/>
      <c r="X27" s="180"/>
      <c r="Y27" s="90"/>
      <c r="Z27" s="90"/>
      <c r="AA27" s="90"/>
      <c r="AB27" s="90"/>
      <c r="AC27" s="90"/>
      <c r="AD27" s="90"/>
      <c r="AE27" s="193" t="str">
        <f>IF(LEN(TRIM('3 Освоение программы'!B81))=0," ",'3 Освоение программы'!B81)</f>
        <v xml:space="preserve">Выпускная квалификационная работа (бакалаврская работа) </v>
      </c>
      <c r="AF27" s="193"/>
      <c r="AG27" s="193"/>
      <c r="AH27" s="193"/>
      <c r="AI27" s="193"/>
      <c r="AJ27" s="193"/>
      <c r="AK27" s="193"/>
      <c r="AL27" s="193"/>
      <c r="AM27" s="193"/>
      <c r="AN27" s="193"/>
      <c r="AO27" s="193"/>
      <c r="AP27" s="193"/>
      <c r="AQ27" s="93"/>
      <c r="AR27" s="183" t="str">
        <f>IF(LEN(TRIM('3 Освоение программы'!C81))=0," ",'3 Освоение программы'!C81)</f>
        <v xml:space="preserve"> </v>
      </c>
      <c r="AS27" s="183"/>
      <c r="AT27" s="183"/>
      <c r="AU27" s="183"/>
      <c r="AV27" s="93"/>
      <c r="AW27" s="183" t="str">
        <f>IF(LEN(TRIM('3 Освоение программы'!D81))=0," ",'3 Освоение программы'!D81)</f>
        <v xml:space="preserve"> </v>
      </c>
      <c r="AX27" s="183"/>
      <c r="AY27" s="183"/>
      <c r="AZ27" s="183"/>
      <c r="BA27" s="183"/>
      <c r="BB27" s="90"/>
      <c r="BC27" s="104"/>
    </row>
    <row r="28" spans="1:55" ht="9.9499999999999993" customHeight="1" x14ac:dyDescent="0.25">
      <c r="A28" s="91"/>
      <c r="B28" s="90"/>
      <c r="C28" s="179" t="str">
        <f>IF(LEN(TRIM('3 Освоение программы'!B14))=0," ",'3 Освоение программы'!B14)</f>
        <v>Дисциплина 13</v>
      </c>
      <c r="D28" s="179"/>
      <c r="E28" s="179"/>
      <c r="F28" s="179"/>
      <c r="G28" s="179"/>
      <c r="H28" s="179"/>
      <c r="I28" s="179"/>
      <c r="J28" s="179"/>
      <c r="K28" s="179"/>
      <c r="L28" s="179"/>
      <c r="M28" s="179"/>
      <c r="N28" s="179"/>
      <c r="O28" s="115"/>
      <c r="P28" s="180" t="str">
        <f>IF(LEN(TRIM('3 Освоение программы'!C14))=0," ",'3 Освоение программы'!C14)</f>
        <v>?? з.е.</v>
      </c>
      <c r="Q28" s="180"/>
      <c r="R28" s="180"/>
      <c r="S28" s="114"/>
      <c r="T28" s="114"/>
      <c r="U28" s="180" t="str">
        <f>IF(LEN(TRIM('3 Освоение программы'!D14))=0," ",'3 Освоение программы'!D14)</f>
        <v>оценка</v>
      </c>
      <c r="V28" s="180"/>
      <c r="W28" s="180"/>
      <c r="X28" s="180"/>
      <c r="Y28" s="90"/>
      <c r="Z28" s="90"/>
      <c r="AA28" s="90"/>
      <c r="AB28" s="90"/>
      <c r="AC28" s="90"/>
      <c r="AD28" s="90"/>
      <c r="AE28" s="193" t="str">
        <f>IF(LEN(TRIM('3 Освоение программы'!B82))=0," ",'3 Освоение программы'!B82)</f>
        <v>"Субъективное благополучие отстающих в обучении</v>
      </c>
      <c r="AF28" s="193"/>
      <c r="AG28" s="193"/>
      <c r="AH28" s="193"/>
      <c r="AI28" s="193"/>
      <c r="AJ28" s="193"/>
      <c r="AK28" s="193"/>
      <c r="AL28" s="193"/>
      <c r="AM28" s="193"/>
      <c r="AN28" s="193"/>
      <c r="AO28" s="193"/>
      <c r="AP28" s="193"/>
      <c r="AQ28" s="93"/>
      <c r="AR28" s="183" t="str">
        <f>IF(LEN(TRIM('3 Освоение программы'!C82))=0," ",'3 Освоение программы'!C82)</f>
        <v xml:space="preserve"> </v>
      </c>
      <c r="AS28" s="183"/>
      <c r="AT28" s="183"/>
      <c r="AU28" s="183"/>
      <c r="AV28" s="93"/>
      <c r="AW28" s="183" t="str">
        <f>IF(LEN(TRIM('3 Освоение программы'!D82))=0," ",'3 Освоение программы'!D82)</f>
        <v xml:space="preserve"> </v>
      </c>
      <c r="AX28" s="183"/>
      <c r="AY28" s="183"/>
      <c r="AZ28" s="183"/>
      <c r="BA28" s="183"/>
      <c r="BB28" s="90"/>
      <c r="BC28" s="104"/>
    </row>
    <row r="29" spans="1:55" ht="9.9499999999999993" customHeight="1" x14ac:dyDescent="0.25">
      <c r="A29" s="91"/>
      <c r="B29" s="90"/>
      <c r="C29" s="179" t="str">
        <f>IF(LEN(TRIM('3 Освоение программы'!B15))=0," ",'3 Освоение программы'!B15)</f>
        <v>Дисциплина 14</v>
      </c>
      <c r="D29" s="179"/>
      <c r="E29" s="179"/>
      <c r="F29" s="179"/>
      <c r="G29" s="179"/>
      <c r="H29" s="179"/>
      <c r="I29" s="179"/>
      <c r="J29" s="179"/>
      <c r="K29" s="179"/>
      <c r="L29" s="179"/>
      <c r="M29" s="179"/>
      <c r="N29" s="179"/>
      <c r="O29" s="115"/>
      <c r="P29" s="180" t="str">
        <f>IF(LEN(TRIM('3 Освоение программы'!C15))=0," ",'3 Освоение программы'!C15)</f>
        <v>?? з.е.</v>
      </c>
      <c r="Q29" s="180"/>
      <c r="R29" s="180"/>
      <c r="S29" s="114"/>
      <c r="T29" s="114"/>
      <c r="U29" s="180" t="str">
        <f>IF(LEN(TRIM('3 Освоение программы'!D15))=0," ",'3 Освоение программы'!D15)</f>
        <v>оценка</v>
      </c>
      <c r="V29" s="180"/>
      <c r="W29" s="180"/>
      <c r="X29" s="180"/>
      <c r="Y29" s="90"/>
      <c r="Z29" s="90"/>
      <c r="AA29" s="90"/>
      <c r="AB29" s="90"/>
      <c r="AC29" s="90"/>
      <c r="AD29" s="90"/>
      <c r="AE29" s="193" t="str">
        <f>IF(LEN(TRIM('3 Освоение программы'!B83))=0," ",'3 Освоение программы'!B83)</f>
        <v>младших школьников"</v>
      </c>
      <c r="AF29" s="193"/>
      <c r="AG29" s="193"/>
      <c r="AH29" s="193"/>
      <c r="AI29" s="193"/>
      <c r="AJ29" s="193"/>
      <c r="AK29" s="193"/>
      <c r="AL29" s="193"/>
      <c r="AM29" s="193"/>
      <c r="AN29" s="193"/>
      <c r="AO29" s="193"/>
      <c r="AP29" s="193"/>
      <c r="AQ29" s="93"/>
      <c r="AR29" s="183" t="str">
        <f>IF(LEN(TRIM('3 Освоение программы'!C83))=0," ",'3 Освоение программы'!C83)</f>
        <v>х</v>
      </c>
      <c r="AS29" s="183"/>
      <c r="AT29" s="183"/>
      <c r="AU29" s="183"/>
      <c r="AV29" s="93"/>
      <c r="AW29" s="183" t="str">
        <f>IF(LEN(TRIM('3 Освоение программы'!D83))=0," ",'3 Освоение программы'!D83)</f>
        <v>оценка</v>
      </c>
      <c r="AX29" s="183"/>
      <c r="AY29" s="183"/>
      <c r="AZ29" s="183"/>
      <c r="BA29" s="183"/>
      <c r="BB29" s="90"/>
      <c r="BC29" s="104"/>
    </row>
    <row r="30" spans="1:55" ht="9.9499999999999993" customHeight="1" x14ac:dyDescent="0.25">
      <c r="A30" s="91"/>
      <c r="B30" s="90"/>
      <c r="C30" s="179" t="str">
        <f>IF(LEN(TRIM('3 Освоение программы'!B16))=0," ",'3 Освоение программы'!B16)</f>
        <v>Дисциплина 15</v>
      </c>
      <c r="D30" s="179"/>
      <c r="E30" s="179"/>
      <c r="F30" s="179"/>
      <c r="G30" s="179"/>
      <c r="H30" s="179"/>
      <c r="I30" s="179"/>
      <c r="J30" s="179"/>
      <c r="K30" s="179"/>
      <c r="L30" s="179"/>
      <c r="M30" s="179"/>
      <c r="N30" s="179"/>
      <c r="O30" s="115"/>
      <c r="P30" s="180" t="str">
        <f>IF(LEN(TRIM('3 Освоение программы'!C16))=0," ",'3 Освоение программы'!C16)</f>
        <v>?? з.е.</v>
      </c>
      <c r="Q30" s="180"/>
      <c r="R30" s="180"/>
      <c r="S30" s="114"/>
      <c r="T30" s="114"/>
      <c r="U30" s="180" t="str">
        <f>IF(LEN(TRIM('3 Освоение программы'!D16))=0," ",'3 Освоение программы'!D16)</f>
        <v>оценка</v>
      </c>
      <c r="V30" s="180"/>
      <c r="W30" s="180"/>
      <c r="X30" s="180"/>
      <c r="Y30" s="90"/>
      <c r="Z30" s="90"/>
      <c r="AA30" s="90"/>
      <c r="AB30" s="90"/>
      <c r="AC30" s="90"/>
      <c r="AD30" s="90"/>
      <c r="AE30" s="193" t="str">
        <f>IF(LEN(TRIM('3 Освоение программы'!B84))=0," ",'3 Освоение программы'!B84)</f>
        <v>Объем образовательной программы</v>
      </c>
      <c r="AF30" s="193"/>
      <c r="AG30" s="193"/>
      <c r="AH30" s="193"/>
      <c r="AI30" s="193"/>
      <c r="AJ30" s="193"/>
      <c r="AK30" s="193"/>
      <c r="AL30" s="193"/>
      <c r="AM30" s="193"/>
      <c r="AN30" s="193"/>
      <c r="AO30" s="193"/>
      <c r="AP30" s="193"/>
      <c r="AQ30" s="93"/>
      <c r="AR30" s="183" t="str">
        <f>IF(LEN(TRIM('3 Освоение программы'!C84))=0," ",'3 Освоение программы'!C84)</f>
        <v>240 з.е.</v>
      </c>
      <c r="AS30" s="183"/>
      <c r="AT30" s="183"/>
      <c r="AU30" s="183"/>
      <c r="AV30" s="93"/>
      <c r="AW30" s="183" t="str">
        <f>IF(LEN(TRIM('3 Освоение программы'!D84))=0," ",'3 Освоение программы'!D84)</f>
        <v>х</v>
      </c>
      <c r="AX30" s="183"/>
      <c r="AY30" s="183"/>
      <c r="AZ30" s="183"/>
      <c r="BA30" s="183"/>
      <c r="BB30" s="90"/>
      <c r="BC30" s="104"/>
    </row>
    <row r="31" spans="1:55" ht="9.9499999999999993" customHeight="1" x14ac:dyDescent="0.25">
      <c r="A31" s="91"/>
      <c r="B31" s="90"/>
      <c r="C31" s="179" t="str">
        <f>IF(LEN(TRIM('3 Освоение программы'!B17))=0," ",'3 Освоение программы'!B17)</f>
        <v>Дисциплина 16</v>
      </c>
      <c r="D31" s="179"/>
      <c r="E31" s="179"/>
      <c r="F31" s="179"/>
      <c r="G31" s="179"/>
      <c r="H31" s="179"/>
      <c r="I31" s="179"/>
      <c r="J31" s="179"/>
      <c r="K31" s="179"/>
      <c r="L31" s="179"/>
      <c r="M31" s="179"/>
      <c r="N31" s="179"/>
      <c r="O31" s="115"/>
      <c r="P31" s="180" t="str">
        <f>IF(LEN(TRIM('3 Освоение программы'!C17))=0," ",'3 Освоение программы'!C17)</f>
        <v>?? з.е.</v>
      </c>
      <c r="Q31" s="180"/>
      <c r="R31" s="180"/>
      <c r="S31" s="114"/>
      <c r="T31" s="114"/>
      <c r="U31" s="180" t="str">
        <f>IF(LEN(TRIM('3 Освоение программы'!D17))=0," ",'3 Освоение программы'!D17)</f>
        <v>оценка</v>
      </c>
      <c r="V31" s="180"/>
      <c r="W31" s="180"/>
      <c r="X31" s="180"/>
      <c r="Y31" s="90"/>
      <c r="Z31" s="90"/>
      <c r="AA31" s="90"/>
      <c r="AB31" s="90"/>
      <c r="AC31" s="90"/>
      <c r="AD31" s="90"/>
      <c r="AE31" s="193" t="str">
        <f>IF(LEN(TRIM('3 Освоение программы'!B85))=0," ",'3 Освоение программы'!B85)</f>
        <v xml:space="preserve">в том числе объем контактной работы обучающихся </v>
      </c>
      <c r="AF31" s="193"/>
      <c r="AG31" s="193"/>
      <c r="AH31" s="193"/>
      <c r="AI31" s="193"/>
      <c r="AJ31" s="193"/>
      <c r="AK31" s="193"/>
      <c r="AL31" s="193"/>
      <c r="AM31" s="193"/>
      <c r="AN31" s="193"/>
      <c r="AO31" s="193"/>
      <c r="AP31" s="193"/>
      <c r="AQ31" s="93"/>
      <c r="AR31" s="183" t="str">
        <f>IF(LEN(TRIM('3 Освоение программы'!C85))=0," ",'3 Освоение программы'!C85)</f>
        <v xml:space="preserve"> </v>
      </c>
      <c r="AS31" s="183"/>
      <c r="AT31" s="183"/>
      <c r="AU31" s="183"/>
      <c r="AV31" s="93"/>
      <c r="AW31" s="183" t="str">
        <f>IF(LEN(TRIM('3 Освоение программы'!D85))=0," ",'3 Освоение программы'!D85)</f>
        <v xml:space="preserve"> </v>
      </c>
      <c r="AX31" s="183"/>
      <c r="AY31" s="183"/>
      <c r="AZ31" s="183"/>
      <c r="BA31" s="183"/>
      <c r="BB31" s="90"/>
      <c r="BC31" s="104"/>
    </row>
    <row r="32" spans="1:55" ht="9.9499999999999993" customHeight="1" x14ac:dyDescent="0.25">
      <c r="A32" s="91"/>
      <c r="B32" s="90"/>
      <c r="C32" s="179" t="str">
        <f>IF(LEN(TRIM('3 Освоение программы'!B18))=0," ",'3 Освоение программы'!B18)</f>
        <v>Дисциплина 17</v>
      </c>
      <c r="D32" s="179"/>
      <c r="E32" s="179"/>
      <c r="F32" s="179"/>
      <c r="G32" s="179"/>
      <c r="H32" s="179"/>
      <c r="I32" s="179"/>
      <c r="J32" s="179"/>
      <c r="K32" s="179"/>
      <c r="L32" s="179"/>
      <c r="M32" s="179"/>
      <c r="N32" s="179"/>
      <c r="O32" s="115"/>
      <c r="P32" s="180" t="str">
        <f>IF(LEN(TRIM('3 Освоение программы'!C18))=0," ",'3 Освоение программы'!C18)</f>
        <v>?? з.е.</v>
      </c>
      <c r="Q32" s="180"/>
      <c r="R32" s="180"/>
      <c r="S32" s="114"/>
      <c r="T32" s="114"/>
      <c r="U32" s="180" t="str">
        <f>IF(LEN(TRIM('3 Освоение программы'!D18))=0," ",'3 Освоение программы'!D18)</f>
        <v>оценка</v>
      </c>
      <c r="V32" s="180"/>
      <c r="W32" s="180"/>
      <c r="X32" s="180"/>
      <c r="Y32" s="90"/>
      <c r="Z32" s="90"/>
      <c r="AA32" s="90"/>
      <c r="AB32" s="90"/>
      <c r="AC32" s="90"/>
      <c r="AD32" s="90"/>
      <c r="AE32" s="193" t="str">
        <f>IF(LEN(TRIM('3 Освоение программы'!B86))=0," ",'3 Освоение программы'!B86)</f>
        <v>во взаимодействии с преподавателем в академических часах:</v>
      </c>
      <c r="AF32" s="193"/>
      <c r="AG32" s="193"/>
      <c r="AH32" s="193"/>
      <c r="AI32" s="193"/>
      <c r="AJ32" s="193"/>
      <c r="AK32" s="193"/>
      <c r="AL32" s="193"/>
      <c r="AM32" s="193"/>
      <c r="AN32" s="193"/>
      <c r="AO32" s="193"/>
      <c r="AP32" s="193"/>
      <c r="AQ32" s="93"/>
      <c r="AR32" s="183" t="str">
        <f>IF(LEN(TRIM('3 Освоение программы'!C86))=0," ",'3 Освоение программы'!C86)</f>
        <v>?? ак. час.</v>
      </c>
      <c r="AS32" s="183"/>
      <c r="AT32" s="183"/>
      <c r="AU32" s="183"/>
      <c r="AV32" s="93"/>
      <c r="AW32" s="183" t="str">
        <f>IF(LEN(TRIM('3 Освоение программы'!D86))=0," ",'3 Освоение программы'!D86)</f>
        <v>х</v>
      </c>
      <c r="AX32" s="183"/>
      <c r="AY32" s="183"/>
      <c r="AZ32" s="183"/>
      <c r="BA32" s="183"/>
      <c r="BB32" s="90"/>
      <c r="BC32" s="104"/>
    </row>
    <row r="33" spans="1:55" ht="9.9499999999999993" customHeight="1" x14ac:dyDescent="0.25">
      <c r="A33" s="91"/>
      <c r="B33" s="90"/>
      <c r="C33" s="179" t="str">
        <f>IF(LEN(TRIM('3 Освоение программы'!B19))=0," ",'3 Освоение программы'!B19)</f>
        <v>Дисциплина 18</v>
      </c>
      <c r="D33" s="179"/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15"/>
      <c r="P33" s="180" t="str">
        <f>IF(LEN(TRIM('3 Освоение программы'!C19))=0," ",'3 Освоение программы'!C19)</f>
        <v>?? з.е.</v>
      </c>
      <c r="Q33" s="180"/>
      <c r="R33" s="180"/>
      <c r="S33" s="114"/>
      <c r="T33" s="114"/>
      <c r="U33" s="180" t="str">
        <f>IF(LEN(TRIM('3 Освоение программы'!D19))=0," ",'3 Освоение программы'!D19)</f>
        <v>оценка</v>
      </c>
      <c r="V33" s="180"/>
      <c r="W33" s="180"/>
      <c r="X33" s="180"/>
      <c r="Y33" s="90"/>
      <c r="Z33" s="90"/>
      <c r="AA33" s="90"/>
      <c r="AB33" s="90"/>
      <c r="AC33" s="90"/>
      <c r="AD33" s="90"/>
      <c r="AE33" s="193" t="str">
        <f>IF(LEN(TRIM('3 Освоение программы'!B87))=0," ",'3 Освоение программы'!B87)</f>
        <v xml:space="preserve">Наименование дисциплины "Очень длинная и очень итересная  </v>
      </c>
      <c r="AF33" s="193"/>
      <c r="AG33" s="193"/>
      <c r="AH33" s="193"/>
      <c r="AI33" s="193"/>
      <c r="AJ33" s="193"/>
      <c r="AK33" s="193"/>
      <c r="AL33" s="193"/>
      <c r="AM33" s="193"/>
      <c r="AN33" s="193"/>
      <c r="AO33" s="193"/>
      <c r="AP33" s="193"/>
      <c r="AQ33" s="93"/>
      <c r="AR33" s="183" t="str">
        <f>IF(LEN(TRIM('3 Освоение программы'!C87))=0," ",'3 Освоение программы'!C87)</f>
        <v xml:space="preserve"> </v>
      </c>
      <c r="AS33" s="183"/>
      <c r="AT33" s="183"/>
      <c r="AU33" s="183"/>
      <c r="AV33" s="93"/>
      <c r="AW33" s="183" t="str">
        <f>IF(LEN(TRIM('3 Освоение программы'!D87))=0," ",'3 Освоение программы'!D87)</f>
        <v xml:space="preserve"> </v>
      </c>
      <c r="AX33" s="183"/>
      <c r="AY33" s="183"/>
      <c r="AZ33" s="183"/>
      <c r="BA33" s="183"/>
      <c r="BB33" s="90"/>
      <c r="BC33" s="104"/>
    </row>
    <row r="34" spans="1:55" ht="9.9499999999999993" customHeight="1" x14ac:dyDescent="0.25">
      <c r="A34" s="91"/>
      <c r="B34" s="90"/>
      <c r="C34" s="179" t="str">
        <f>IF(LEN(TRIM('3 Освоение программы'!B20))=0," ",'3 Освоение программы'!B20)</f>
        <v>Дисциплина 19</v>
      </c>
      <c r="D34" s="179"/>
      <c r="E34" s="179"/>
      <c r="F34" s="179"/>
      <c r="G34" s="179"/>
      <c r="H34" s="179"/>
      <c r="I34" s="179"/>
      <c r="J34" s="179"/>
      <c r="K34" s="179"/>
      <c r="L34" s="179"/>
      <c r="M34" s="179"/>
      <c r="N34" s="179"/>
      <c r="O34" s="115"/>
      <c r="P34" s="180" t="str">
        <f>IF(LEN(TRIM('3 Освоение программы'!C20))=0," ",'3 Освоение программы'!C20)</f>
        <v>?? з.е.</v>
      </c>
      <c r="Q34" s="180"/>
      <c r="R34" s="180"/>
      <c r="S34" s="114"/>
      <c r="T34" s="114"/>
      <c r="U34" s="180" t="str">
        <f>IF(LEN(TRIM('3 Освоение программы'!D20))=0," ",'3 Освоение программы'!D20)</f>
        <v>оценка</v>
      </c>
      <c r="V34" s="180"/>
      <c r="W34" s="180"/>
      <c r="X34" s="180"/>
      <c r="Y34" s="90"/>
      <c r="Z34" s="90"/>
      <c r="AA34" s="90"/>
      <c r="AB34" s="90"/>
      <c r="AC34" s="90"/>
      <c r="AD34" s="90"/>
      <c r="AE34" s="193" t="str">
        <f>IF(LEN(TRIM('3 Освоение программы'!B88))=0," ",'3 Освоение программы'!B88)</f>
        <v>тема курсовой работы"</v>
      </c>
      <c r="AF34" s="193"/>
      <c r="AG34" s="193"/>
      <c r="AH34" s="193"/>
      <c r="AI34" s="193"/>
      <c r="AJ34" s="193"/>
      <c r="AK34" s="193"/>
      <c r="AL34" s="193"/>
      <c r="AM34" s="193"/>
      <c r="AN34" s="193"/>
      <c r="AO34" s="193"/>
      <c r="AP34" s="193"/>
      <c r="AQ34" s="93"/>
      <c r="AR34" s="183" t="str">
        <f>IF(LEN(TRIM('3 Освоение программы'!C88))=0," ",'3 Освоение программы'!C88)</f>
        <v xml:space="preserve"> </v>
      </c>
      <c r="AS34" s="183"/>
      <c r="AT34" s="183"/>
      <c r="AU34" s="183"/>
      <c r="AV34" s="93"/>
      <c r="AW34" s="183" t="str">
        <f>IF(LEN(TRIM('3 Освоение программы'!D88))=0," ",'3 Освоение программы'!D88)</f>
        <v>оценка</v>
      </c>
      <c r="AX34" s="183"/>
      <c r="AY34" s="183"/>
      <c r="AZ34" s="183"/>
      <c r="BA34" s="183"/>
      <c r="BB34" s="90"/>
      <c r="BC34" s="104"/>
    </row>
    <row r="35" spans="1:55" ht="9.9499999999999993" customHeight="1" x14ac:dyDescent="0.25">
      <c r="A35" s="91"/>
      <c r="B35" s="90"/>
      <c r="C35" s="179" t="str">
        <f>IF(LEN(TRIM('3 Освоение программы'!B21))=0," ",'3 Освоение программы'!B21)</f>
        <v>Дисциплина 20</v>
      </c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15"/>
      <c r="P35" s="180" t="str">
        <f>IF(LEN(TRIM('3 Освоение программы'!C21))=0," ",'3 Освоение программы'!C21)</f>
        <v>?? з.е.</v>
      </c>
      <c r="Q35" s="180"/>
      <c r="R35" s="180"/>
      <c r="S35" s="114"/>
      <c r="T35" s="114"/>
      <c r="U35" s="180" t="str">
        <f>IF(LEN(TRIM('3 Освоение программы'!D21))=0," ",'3 Освоение программы'!D21)</f>
        <v>оценка</v>
      </c>
      <c r="V35" s="180"/>
      <c r="W35" s="180"/>
      <c r="X35" s="180"/>
      <c r="Y35" s="90"/>
      <c r="Z35" s="90"/>
      <c r="AA35" s="90"/>
      <c r="AB35" s="90"/>
      <c r="AC35" s="90"/>
      <c r="AD35" s="90"/>
      <c r="AE35" s="193" t="str">
        <f>IF(LEN(TRIM('3 Освоение программы'!B89))=0," ",'3 Освоение программы'!B89)</f>
        <v xml:space="preserve">Наименование дисциплины "Очень длинная и очень итересная  </v>
      </c>
      <c r="AF35" s="193"/>
      <c r="AG35" s="193"/>
      <c r="AH35" s="193"/>
      <c r="AI35" s="193"/>
      <c r="AJ35" s="193"/>
      <c r="AK35" s="193"/>
      <c r="AL35" s="193"/>
      <c r="AM35" s="193"/>
      <c r="AN35" s="193"/>
      <c r="AO35" s="193"/>
      <c r="AP35" s="193"/>
      <c r="AQ35" s="93"/>
      <c r="AR35" s="183" t="str">
        <f>IF(LEN(TRIM('3 Освоение программы'!C89))=0," ",'3 Освоение программы'!C89)</f>
        <v xml:space="preserve"> </v>
      </c>
      <c r="AS35" s="183"/>
      <c r="AT35" s="183"/>
      <c r="AU35" s="183"/>
      <c r="AV35" s="93"/>
      <c r="AW35" s="183" t="str">
        <f>IF(LEN(TRIM('3 Освоение программы'!D89))=0," ",'3 Освоение программы'!D89)</f>
        <v xml:space="preserve"> </v>
      </c>
      <c r="AX35" s="183"/>
      <c r="AY35" s="183"/>
      <c r="AZ35" s="183"/>
      <c r="BA35" s="183"/>
      <c r="BB35" s="90"/>
      <c r="BC35" s="104"/>
    </row>
    <row r="36" spans="1:55" ht="9.9499999999999993" customHeight="1" x14ac:dyDescent="0.25">
      <c r="A36" s="91"/>
      <c r="B36" s="90"/>
      <c r="C36" s="179" t="str">
        <f>IF(LEN(TRIM('3 Освоение программы'!B22))=0," ",'3 Освоение программы'!B22)</f>
        <v>Дисциплина 21</v>
      </c>
      <c r="D36" s="179"/>
      <c r="E36" s="179"/>
      <c r="F36" s="179"/>
      <c r="G36" s="179"/>
      <c r="H36" s="179"/>
      <c r="I36" s="179"/>
      <c r="J36" s="179"/>
      <c r="K36" s="179"/>
      <c r="L36" s="179"/>
      <c r="M36" s="179"/>
      <c r="N36" s="179"/>
      <c r="O36" s="115"/>
      <c r="P36" s="180" t="str">
        <f>IF(LEN(TRIM('3 Освоение программы'!C22))=0," ",'3 Освоение программы'!C22)</f>
        <v>?? з.е.</v>
      </c>
      <c r="Q36" s="180"/>
      <c r="R36" s="180"/>
      <c r="S36" s="114"/>
      <c r="T36" s="114"/>
      <c r="U36" s="180" t="str">
        <f>IF(LEN(TRIM('3 Освоение программы'!D22))=0," ",'3 Освоение программы'!D22)</f>
        <v>оценка</v>
      </c>
      <c r="V36" s="180"/>
      <c r="W36" s="180"/>
      <c r="X36" s="180"/>
      <c r="Y36" s="90"/>
      <c r="Z36" s="90"/>
      <c r="AA36" s="90"/>
      <c r="AB36" s="90"/>
      <c r="AC36" s="90"/>
      <c r="AD36" s="90"/>
      <c r="AE36" s="193" t="str">
        <f>IF(LEN(TRIM('3 Освоение программы'!B90))=0," ",'3 Освоение программы'!B90)</f>
        <v>тема курсовой работы"</v>
      </c>
      <c r="AF36" s="193"/>
      <c r="AG36" s="193"/>
      <c r="AH36" s="193"/>
      <c r="AI36" s="193"/>
      <c r="AJ36" s="193"/>
      <c r="AK36" s="193"/>
      <c r="AL36" s="193"/>
      <c r="AM36" s="193"/>
      <c r="AN36" s="193"/>
      <c r="AO36" s="193"/>
      <c r="AP36" s="193"/>
      <c r="AQ36" s="93"/>
      <c r="AR36" s="183" t="str">
        <f>IF(LEN(TRIM('3 Освоение программы'!C90))=0," ",'3 Освоение программы'!C90)</f>
        <v xml:space="preserve"> </v>
      </c>
      <c r="AS36" s="183"/>
      <c r="AT36" s="183"/>
      <c r="AU36" s="183"/>
      <c r="AV36" s="93"/>
      <c r="AW36" s="183" t="str">
        <f>IF(LEN(TRIM('3 Освоение программы'!D90))=0," ",'3 Освоение программы'!D90)</f>
        <v>оценка</v>
      </c>
      <c r="AX36" s="183"/>
      <c r="AY36" s="183"/>
      <c r="AZ36" s="183"/>
      <c r="BA36" s="183"/>
      <c r="BB36" s="90"/>
      <c r="BC36" s="104"/>
    </row>
    <row r="37" spans="1:55" ht="9.9499999999999993" customHeight="1" x14ac:dyDescent="0.25">
      <c r="A37" s="91"/>
      <c r="B37" s="90"/>
      <c r="C37" s="179" t="str">
        <f>IF(LEN(TRIM('3 Освоение программы'!B23))=0," ",'3 Освоение программы'!B23)</f>
        <v>Дисциплина 22</v>
      </c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15"/>
      <c r="P37" s="180" t="str">
        <f>IF(LEN(TRIM('3 Освоение программы'!C23))=0," ",'3 Освоение программы'!C23)</f>
        <v>?? з.е.</v>
      </c>
      <c r="Q37" s="180"/>
      <c r="R37" s="180"/>
      <c r="S37" s="114"/>
      <c r="T37" s="114"/>
      <c r="U37" s="180" t="str">
        <f>IF(LEN(TRIM('3 Освоение программы'!D23))=0," ",'3 Освоение программы'!D23)</f>
        <v>оценка</v>
      </c>
      <c r="V37" s="180"/>
      <c r="W37" s="180"/>
      <c r="X37" s="180"/>
      <c r="Y37" s="90"/>
      <c r="Z37" s="90"/>
      <c r="AA37" s="90"/>
      <c r="AB37" s="90"/>
      <c r="AC37" s="90"/>
      <c r="AD37" s="90"/>
      <c r="AE37" s="193" t="str">
        <f>IF(LEN(TRIM('3 Освоение программы'!B91))=0," ",'3 Освоение программы'!B91)</f>
        <v>Факультативные дисциплины (модули)</v>
      </c>
      <c r="AF37" s="193"/>
      <c r="AG37" s="193"/>
      <c r="AH37" s="193"/>
      <c r="AI37" s="193"/>
      <c r="AJ37" s="193"/>
      <c r="AK37" s="193"/>
      <c r="AL37" s="193"/>
      <c r="AM37" s="193"/>
      <c r="AN37" s="193"/>
      <c r="AO37" s="193"/>
      <c r="AP37" s="193"/>
      <c r="AQ37" s="93"/>
      <c r="AR37" s="183" t="str">
        <f>IF(LEN(TRIM('3 Освоение программы'!C91))=0," ",'3 Освоение программы'!C91)</f>
        <v xml:space="preserve"> </v>
      </c>
      <c r="AS37" s="183"/>
      <c r="AT37" s="183"/>
      <c r="AU37" s="183"/>
      <c r="AV37" s="93"/>
      <c r="AW37" s="183" t="str">
        <f>IF(LEN(TRIM('3 Освоение программы'!D91))=0," ",'3 Освоение программы'!D91)</f>
        <v xml:space="preserve"> </v>
      </c>
      <c r="AX37" s="183"/>
      <c r="AY37" s="183"/>
      <c r="AZ37" s="183"/>
      <c r="BA37" s="183"/>
      <c r="BB37" s="90"/>
      <c r="BC37" s="104"/>
    </row>
    <row r="38" spans="1:55" ht="9.9499999999999993" customHeight="1" x14ac:dyDescent="0.25">
      <c r="A38" s="91"/>
      <c r="B38" s="90"/>
      <c r="C38" s="179" t="str">
        <f>IF(LEN(TRIM('3 Освоение программы'!B24))=0," ",'3 Освоение программы'!B24)</f>
        <v>Дисциплина 23</v>
      </c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15"/>
      <c r="P38" s="180" t="str">
        <f>IF(LEN(TRIM('3 Освоение программы'!C24))=0," ",'3 Освоение программы'!C24)</f>
        <v>?? з.е.</v>
      </c>
      <c r="Q38" s="180"/>
      <c r="R38" s="180"/>
      <c r="S38" s="114"/>
      <c r="T38" s="114"/>
      <c r="U38" s="180" t="str">
        <f>IF(LEN(TRIM('3 Освоение программы'!D24))=0," ",'3 Освоение программы'!D24)</f>
        <v>оценка</v>
      </c>
      <c r="V38" s="180"/>
      <c r="W38" s="180"/>
      <c r="X38" s="180"/>
      <c r="Y38" s="90"/>
      <c r="Z38" s="90"/>
      <c r="AA38" s="90"/>
      <c r="AB38" s="90"/>
      <c r="AC38" s="90"/>
      <c r="AD38" s="90"/>
      <c r="AE38" s="193" t="str">
        <f>IF(LEN(TRIM('3 Освоение программы'!B92))=0," ",'3 Освоение программы'!B92)</f>
        <v>в том числе:</v>
      </c>
      <c r="AF38" s="193"/>
      <c r="AG38" s="193"/>
      <c r="AH38" s="193"/>
      <c r="AI38" s="193"/>
      <c r="AJ38" s="193"/>
      <c r="AK38" s="193"/>
      <c r="AL38" s="193"/>
      <c r="AM38" s="193"/>
      <c r="AN38" s="193"/>
      <c r="AO38" s="193"/>
      <c r="AP38" s="193"/>
      <c r="AQ38" s="93"/>
      <c r="AR38" s="183" t="str">
        <f>IF(LEN(TRIM('3 Освоение программы'!C92))=0," ",'3 Освоение программы'!C92)</f>
        <v xml:space="preserve"> </v>
      </c>
      <c r="AS38" s="183"/>
      <c r="AT38" s="183"/>
      <c r="AU38" s="183"/>
      <c r="AV38" s="93"/>
      <c r="AW38" s="183" t="str">
        <f>IF(LEN(TRIM('3 Освоение программы'!D92))=0," ",'3 Освоение программы'!D92)</f>
        <v xml:space="preserve"> </v>
      </c>
      <c r="AX38" s="183"/>
      <c r="AY38" s="183"/>
      <c r="AZ38" s="183"/>
      <c r="BA38" s="183"/>
      <c r="BB38" s="90"/>
      <c r="BC38" s="104"/>
    </row>
    <row r="39" spans="1:55" ht="9.9499999999999993" customHeight="1" x14ac:dyDescent="0.25">
      <c r="A39" s="91"/>
      <c r="B39" s="90"/>
      <c r="C39" s="179" t="str">
        <f>IF(LEN(TRIM('3 Освоение программы'!B25))=0," ",'3 Освоение программы'!B25)</f>
        <v>Дисциплина 24</v>
      </c>
      <c r="D39" s="179"/>
      <c r="E39" s="179"/>
      <c r="F39" s="179"/>
      <c r="G39" s="179"/>
      <c r="H39" s="179"/>
      <c r="I39" s="179"/>
      <c r="J39" s="179"/>
      <c r="K39" s="179"/>
      <c r="L39" s="179"/>
      <c r="M39" s="179"/>
      <c r="N39" s="179"/>
      <c r="O39" s="115"/>
      <c r="P39" s="180" t="str">
        <f>IF(LEN(TRIM('3 Освоение программы'!C25))=0," ",'3 Освоение программы'!C25)</f>
        <v>?? з.е.</v>
      </c>
      <c r="Q39" s="180"/>
      <c r="R39" s="180"/>
      <c r="S39" s="114"/>
      <c r="T39" s="114"/>
      <c r="U39" s="180" t="str">
        <f>IF(LEN(TRIM('3 Освоение программы'!D25))=0," ",'3 Освоение программы'!D25)</f>
        <v>оценка</v>
      </c>
      <c r="V39" s="180"/>
      <c r="W39" s="180"/>
      <c r="X39" s="180"/>
      <c r="Y39" s="90"/>
      <c r="Z39" s="90"/>
      <c r="AA39" s="90"/>
      <c r="AB39" s="90"/>
      <c r="AC39" s="90"/>
      <c r="AD39" s="90"/>
      <c r="AE39" s="193" t="str">
        <f>IF(LEN(TRIM('3 Освоение программы'!B93))=0," ",'3 Освоение программы'!B93)</f>
        <v>Повышение спортивного мастерства</v>
      </c>
      <c r="AF39" s="193"/>
      <c r="AG39" s="193"/>
      <c r="AH39" s="193"/>
      <c r="AI39" s="193"/>
      <c r="AJ39" s="193"/>
      <c r="AK39" s="193"/>
      <c r="AL39" s="193"/>
      <c r="AM39" s="193"/>
      <c r="AN39" s="193"/>
      <c r="AO39" s="193"/>
      <c r="AP39" s="193"/>
      <c r="AQ39" s="93"/>
      <c r="AR39" s="183" t="str">
        <f>IF(LEN(TRIM('3 Освоение программы'!C93))=0," ",'3 Освоение программы'!C93)</f>
        <v>?? з.е.</v>
      </c>
      <c r="AS39" s="183"/>
      <c r="AT39" s="183"/>
      <c r="AU39" s="183"/>
      <c r="AV39" s="93"/>
      <c r="AW39" s="183" t="str">
        <f>IF(LEN(TRIM('3 Освоение программы'!D93))=0," ",'3 Освоение программы'!D93)</f>
        <v>оценка</v>
      </c>
      <c r="AX39" s="183"/>
      <c r="AY39" s="183"/>
      <c r="AZ39" s="183"/>
      <c r="BA39" s="183"/>
      <c r="BB39" s="90"/>
      <c r="BC39" s="104"/>
    </row>
    <row r="40" spans="1:55" ht="9.9499999999999993" customHeight="1" x14ac:dyDescent="0.25">
      <c r="A40" s="91"/>
      <c r="B40" s="90"/>
      <c r="C40" s="179" t="str">
        <f>IF(LEN(TRIM('3 Освоение программы'!B26))=0," ",'3 Освоение программы'!B26)</f>
        <v>Дисциплина 25</v>
      </c>
      <c r="D40" s="179"/>
      <c r="E40" s="179"/>
      <c r="F40" s="179"/>
      <c r="G40" s="179"/>
      <c r="H40" s="179"/>
      <c r="I40" s="179"/>
      <c r="J40" s="179"/>
      <c r="K40" s="179"/>
      <c r="L40" s="179"/>
      <c r="M40" s="179"/>
      <c r="N40" s="179"/>
      <c r="O40" s="115"/>
      <c r="P40" s="180" t="str">
        <f>IF(LEN(TRIM('3 Освоение программы'!C26))=0," ",'3 Освоение программы'!C26)</f>
        <v>?? з.е.</v>
      </c>
      <c r="Q40" s="180"/>
      <c r="R40" s="180"/>
      <c r="S40" s="114"/>
      <c r="T40" s="114"/>
      <c r="U40" s="180" t="str">
        <f>IF(LEN(TRIM('3 Освоение программы'!D26))=0," ",'3 Освоение программы'!D26)</f>
        <v>оценка</v>
      </c>
      <c r="V40" s="180"/>
      <c r="W40" s="180"/>
      <c r="X40" s="180"/>
      <c r="Y40" s="90"/>
      <c r="Z40" s="90"/>
      <c r="AA40" s="90"/>
      <c r="AB40" s="90"/>
      <c r="AC40" s="90"/>
      <c r="AD40" s="90"/>
      <c r="AE40" s="193" t="str">
        <f>IF(LEN(TRIM('3 Освоение программы'!B94))=0," ",'3 Освоение программы'!B94)</f>
        <v xml:space="preserve"> </v>
      </c>
      <c r="AF40" s="193"/>
      <c r="AG40" s="193"/>
      <c r="AH40" s="193"/>
      <c r="AI40" s="193"/>
      <c r="AJ40" s="193"/>
      <c r="AK40" s="193"/>
      <c r="AL40" s="193"/>
      <c r="AM40" s="193"/>
      <c r="AN40" s="193"/>
      <c r="AO40" s="193"/>
      <c r="AP40" s="193"/>
      <c r="AQ40" s="93"/>
      <c r="AR40" s="183" t="str">
        <f>IF(LEN(TRIM('3 Освоение программы'!C94))=0," ",'3 Освоение программы'!C94)</f>
        <v xml:space="preserve"> </v>
      </c>
      <c r="AS40" s="183"/>
      <c r="AT40" s="183"/>
      <c r="AU40" s="183"/>
      <c r="AV40" s="93"/>
      <c r="AW40" s="183" t="str">
        <f>IF(LEN(TRIM('3 Освоение программы'!D94))=0," ",'3 Освоение программы'!D94)</f>
        <v xml:space="preserve"> </v>
      </c>
      <c r="AX40" s="183"/>
      <c r="AY40" s="183"/>
      <c r="AZ40" s="183"/>
      <c r="BA40" s="183"/>
      <c r="BB40" s="90"/>
      <c r="BC40" s="104"/>
    </row>
    <row r="41" spans="1:55" ht="9.9499999999999993" customHeight="1" x14ac:dyDescent="0.25">
      <c r="A41" s="91"/>
      <c r="B41" s="90"/>
      <c r="C41" s="179" t="str">
        <f>IF(LEN(TRIM('3 Освоение программы'!B27))=0," ",'3 Освоение программы'!B27)</f>
        <v>Дисциплина 26</v>
      </c>
      <c r="D41" s="179"/>
      <c r="E41" s="179"/>
      <c r="F41" s="179"/>
      <c r="G41" s="179"/>
      <c r="H41" s="179"/>
      <c r="I41" s="179"/>
      <c r="J41" s="179"/>
      <c r="K41" s="179"/>
      <c r="L41" s="179"/>
      <c r="M41" s="179"/>
      <c r="N41" s="179"/>
      <c r="O41" s="115"/>
      <c r="P41" s="180" t="str">
        <f>IF(LEN(TRIM('3 Освоение программы'!C27))=0," ",'3 Освоение программы'!C27)</f>
        <v>?? з.е.</v>
      </c>
      <c r="Q41" s="180"/>
      <c r="R41" s="180"/>
      <c r="S41" s="114"/>
      <c r="T41" s="114"/>
      <c r="U41" s="180" t="str">
        <f>IF(LEN(TRIM('3 Освоение программы'!D27))=0," ",'3 Освоение программы'!D27)</f>
        <v>оценка</v>
      </c>
      <c r="V41" s="180"/>
      <c r="W41" s="180"/>
      <c r="X41" s="180"/>
      <c r="Y41" s="90"/>
      <c r="Z41" s="90"/>
      <c r="AA41" s="90"/>
      <c r="AB41" s="90"/>
      <c r="AC41" s="90"/>
      <c r="AD41" s="90"/>
      <c r="AE41" s="193" t="str">
        <f>IF(LEN(TRIM('3 Освоение программы'!B95))=0," ",'3 Освоение программы'!B95)</f>
        <v xml:space="preserve"> </v>
      </c>
      <c r="AF41" s="193"/>
      <c r="AG41" s="193"/>
      <c r="AH41" s="193"/>
      <c r="AI41" s="193"/>
      <c r="AJ41" s="193"/>
      <c r="AK41" s="193"/>
      <c r="AL41" s="193"/>
      <c r="AM41" s="193"/>
      <c r="AN41" s="193"/>
      <c r="AO41" s="193"/>
      <c r="AP41" s="193"/>
      <c r="AQ41" s="93"/>
      <c r="AR41" s="183" t="str">
        <f>IF(LEN(TRIM('3 Освоение программы'!C95))=0," ",'3 Освоение программы'!C95)</f>
        <v xml:space="preserve"> </v>
      </c>
      <c r="AS41" s="183"/>
      <c r="AT41" s="183"/>
      <c r="AU41" s="183"/>
      <c r="AV41" s="93"/>
      <c r="AW41" s="183" t="str">
        <f>IF(LEN(TRIM('3 Освоение программы'!D95))=0," ",'3 Освоение программы'!D95)</f>
        <v xml:space="preserve"> </v>
      </c>
      <c r="AX41" s="183"/>
      <c r="AY41" s="183"/>
      <c r="AZ41" s="183"/>
      <c r="BA41" s="183"/>
      <c r="BB41" s="90"/>
      <c r="BC41" s="104"/>
    </row>
    <row r="42" spans="1:55" ht="9.9499999999999993" customHeight="1" x14ac:dyDescent="0.25">
      <c r="A42" s="91"/>
      <c r="B42" s="90"/>
      <c r="C42" s="179" t="str">
        <f>IF(LEN(TRIM('3 Освоение программы'!B28))=0," ",'3 Освоение программы'!B28)</f>
        <v>Дисциплина 27</v>
      </c>
      <c r="D42" s="179"/>
      <c r="E42" s="179"/>
      <c r="F42" s="179"/>
      <c r="G42" s="179"/>
      <c r="H42" s="179"/>
      <c r="I42" s="179"/>
      <c r="J42" s="179"/>
      <c r="K42" s="179"/>
      <c r="L42" s="179"/>
      <c r="M42" s="179"/>
      <c r="N42" s="179"/>
      <c r="O42" s="115"/>
      <c r="P42" s="180" t="str">
        <f>IF(LEN(TRIM('3 Освоение программы'!C28))=0," ",'3 Освоение программы'!C28)</f>
        <v>?? з.е.</v>
      </c>
      <c r="Q42" s="180"/>
      <c r="R42" s="180"/>
      <c r="S42" s="114"/>
      <c r="T42" s="114"/>
      <c r="U42" s="180" t="str">
        <f>IF(LEN(TRIM('3 Освоение программы'!D28))=0," ",'3 Освоение программы'!D28)</f>
        <v>оценка</v>
      </c>
      <c r="V42" s="180"/>
      <c r="W42" s="180"/>
      <c r="X42" s="180"/>
      <c r="Y42" s="90"/>
      <c r="Z42" s="90"/>
      <c r="AA42" s="90"/>
      <c r="AB42" s="90"/>
      <c r="AC42" s="90"/>
      <c r="AD42" s="90"/>
      <c r="AE42" s="193" t="str">
        <f>IF(LEN(TRIM('3 Освоение программы'!B96))=0," ",'3 Освоение программы'!B96)</f>
        <v xml:space="preserve"> </v>
      </c>
      <c r="AF42" s="193"/>
      <c r="AG42" s="193"/>
      <c r="AH42" s="193"/>
      <c r="AI42" s="193"/>
      <c r="AJ42" s="193"/>
      <c r="AK42" s="193"/>
      <c r="AL42" s="193"/>
      <c r="AM42" s="193"/>
      <c r="AN42" s="193"/>
      <c r="AO42" s="193"/>
      <c r="AP42" s="193"/>
      <c r="AQ42" s="93"/>
      <c r="AR42" s="183" t="str">
        <f>IF(LEN(TRIM('3 Освоение программы'!C96))=0," ",'3 Освоение программы'!C96)</f>
        <v xml:space="preserve"> </v>
      </c>
      <c r="AS42" s="183"/>
      <c r="AT42" s="183"/>
      <c r="AU42" s="183"/>
      <c r="AV42" s="93"/>
      <c r="AW42" s="183" t="str">
        <f>IF(LEN(TRIM('3 Освоение программы'!D96))=0," ",'3 Освоение программы'!D96)</f>
        <v xml:space="preserve"> </v>
      </c>
      <c r="AX42" s="183"/>
      <c r="AY42" s="183"/>
      <c r="AZ42" s="183"/>
      <c r="BA42" s="183"/>
      <c r="BB42" s="90"/>
      <c r="BC42" s="104"/>
    </row>
    <row r="43" spans="1:55" ht="9.9499999999999993" customHeight="1" x14ac:dyDescent="0.25">
      <c r="A43" s="91"/>
      <c r="B43" s="90"/>
      <c r="C43" s="179" t="str">
        <f>IF(LEN(TRIM('3 Освоение программы'!B29))=0," ",'3 Освоение программы'!B29)</f>
        <v>Дисциплина 28</v>
      </c>
      <c r="D43" s="179"/>
      <c r="E43" s="179"/>
      <c r="F43" s="179"/>
      <c r="G43" s="179"/>
      <c r="H43" s="179"/>
      <c r="I43" s="179"/>
      <c r="J43" s="179"/>
      <c r="K43" s="179"/>
      <c r="L43" s="179"/>
      <c r="M43" s="179"/>
      <c r="N43" s="179"/>
      <c r="O43" s="115"/>
      <c r="P43" s="180" t="str">
        <f>IF(LEN(TRIM('3 Освоение программы'!C29))=0," ",'3 Освоение программы'!C29)</f>
        <v>?? з.е.</v>
      </c>
      <c r="Q43" s="180"/>
      <c r="R43" s="180"/>
      <c r="S43" s="114"/>
      <c r="T43" s="114"/>
      <c r="U43" s="180" t="str">
        <f>IF(LEN(TRIM('3 Освоение программы'!D29))=0," ",'3 Освоение программы'!D29)</f>
        <v>оценка</v>
      </c>
      <c r="V43" s="180"/>
      <c r="W43" s="180"/>
      <c r="X43" s="180"/>
      <c r="Y43" s="90"/>
      <c r="Z43" s="90"/>
      <c r="AA43" s="90"/>
      <c r="AB43" s="90"/>
      <c r="AC43" s="90"/>
      <c r="AD43" s="90"/>
      <c r="AE43" s="193" t="str">
        <f>IF(LEN(TRIM('3 Освоение программы'!B97))=0," ",'3 Освоение программы'!B97)</f>
        <v xml:space="preserve"> </v>
      </c>
      <c r="AF43" s="193"/>
      <c r="AG43" s="193"/>
      <c r="AH43" s="193"/>
      <c r="AI43" s="193"/>
      <c r="AJ43" s="193"/>
      <c r="AK43" s="193"/>
      <c r="AL43" s="193"/>
      <c r="AM43" s="193"/>
      <c r="AN43" s="193"/>
      <c r="AO43" s="193"/>
      <c r="AP43" s="193"/>
      <c r="AQ43" s="93"/>
      <c r="AR43" s="183" t="str">
        <f>IF(LEN(TRIM('3 Освоение программы'!C97))=0," ",'3 Освоение программы'!C97)</f>
        <v xml:space="preserve"> </v>
      </c>
      <c r="AS43" s="183"/>
      <c r="AT43" s="183"/>
      <c r="AU43" s="183"/>
      <c r="AV43" s="93"/>
      <c r="AW43" s="183" t="str">
        <f>IF(LEN(TRIM('3 Освоение программы'!D97))=0," ",'3 Освоение программы'!D97)</f>
        <v xml:space="preserve"> </v>
      </c>
      <c r="AX43" s="183"/>
      <c r="AY43" s="183"/>
      <c r="AZ43" s="183"/>
      <c r="BA43" s="183"/>
      <c r="BB43" s="90"/>
      <c r="BC43" s="104"/>
    </row>
    <row r="44" spans="1:55" ht="9.9499999999999993" customHeight="1" x14ac:dyDescent="0.25">
      <c r="A44" s="91"/>
      <c r="B44" s="90"/>
      <c r="C44" s="179" t="str">
        <f>IF(LEN(TRIM('3 Освоение программы'!B30))=0," ",'3 Освоение программы'!B30)</f>
        <v>Дисциплина 29</v>
      </c>
      <c r="D44" s="179"/>
      <c r="E44" s="179"/>
      <c r="F44" s="179"/>
      <c r="G44" s="179"/>
      <c r="H44" s="179"/>
      <c r="I44" s="179"/>
      <c r="J44" s="179"/>
      <c r="K44" s="179"/>
      <c r="L44" s="179"/>
      <c r="M44" s="179"/>
      <c r="N44" s="179"/>
      <c r="O44" s="115"/>
      <c r="P44" s="180" t="str">
        <f>IF(LEN(TRIM('3 Освоение программы'!C30))=0," ",'3 Освоение программы'!C30)</f>
        <v>?? з.е.</v>
      </c>
      <c r="Q44" s="180"/>
      <c r="R44" s="180"/>
      <c r="S44" s="114"/>
      <c r="T44" s="114"/>
      <c r="U44" s="180" t="str">
        <f>IF(LEN(TRIM('3 Освоение программы'!D30))=0," ",'3 Освоение программы'!D30)</f>
        <v>оценка</v>
      </c>
      <c r="V44" s="180"/>
      <c r="W44" s="180"/>
      <c r="X44" s="180"/>
      <c r="Y44" s="90"/>
      <c r="Z44" s="90"/>
      <c r="AA44" s="90"/>
      <c r="AB44" s="90"/>
      <c r="AC44" s="90"/>
      <c r="AD44" s="90"/>
      <c r="AE44" s="193" t="str">
        <f>IF(LEN(TRIM('3 Освоение программы'!B98))=0," ",'3 Освоение программы'!B98)</f>
        <v xml:space="preserve"> </v>
      </c>
      <c r="AF44" s="193"/>
      <c r="AG44" s="193"/>
      <c r="AH44" s="193"/>
      <c r="AI44" s="193"/>
      <c r="AJ44" s="193"/>
      <c r="AK44" s="193"/>
      <c r="AL44" s="193"/>
      <c r="AM44" s="193"/>
      <c r="AN44" s="193"/>
      <c r="AO44" s="193"/>
      <c r="AP44" s="193"/>
      <c r="AQ44" s="93"/>
      <c r="AR44" s="183" t="str">
        <f>IF(LEN(TRIM('3 Освоение программы'!C98))=0," ",'3 Освоение программы'!C98)</f>
        <v xml:space="preserve"> </v>
      </c>
      <c r="AS44" s="183"/>
      <c r="AT44" s="183"/>
      <c r="AU44" s="183"/>
      <c r="AV44" s="93"/>
      <c r="AW44" s="183" t="str">
        <f>IF(LEN(TRIM('3 Освоение программы'!D98))=0," ",'3 Освоение программы'!D98)</f>
        <v xml:space="preserve"> </v>
      </c>
      <c r="AX44" s="183"/>
      <c r="AY44" s="183"/>
      <c r="AZ44" s="183"/>
      <c r="BA44" s="183"/>
      <c r="BB44" s="90"/>
      <c r="BC44" s="104"/>
    </row>
    <row r="45" spans="1:55" ht="9.9499999999999993" customHeight="1" x14ac:dyDescent="0.25">
      <c r="A45" s="91"/>
      <c r="B45" s="90"/>
      <c r="C45" s="179" t="str">
        <f>IF(LEN(TRIM('3 Освоение программы'!B31))=0," ",'3 Освоение программы'!B31)</f>
        <v>Дисциплина 30</v>
      </c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15"/>
      <c r="P45" s="180" t="str">
        <f>IF(LEN(TRIM('3 Освоение программы'!C31))=0," ",'3 Освоение программы'!C31)</f>
        <v>?? з.е.</v>
      </c>
      <c r="Q45" s="180"/>
      <c r="R45" s="180"/>
      <c r="S45" s="114"/>
      <c r="T45" s="114"/>
      <c r="U45" s="180" t="str">
        <f>IF(LEN(TRIM('3 Освоение программы'!D31))=0," ",'3 Освоение программы'!D31)</f>
        <v>оценка</v>
      </c>
      <c r="V45" s="180"/>
      <c r="W45" s="180"/>
      <c r="X45" s="180"/>
      <c r="Y45" s="90"/>
      <c r="Z45" s="90"/>
      <c r="AA45" s="90"/>
      <c r="AB45" s="90"/>
      <c r="AC45" s="90"/>
      <c r="AD45" s="90"/>
      <c r="AE45" s="193" t="str">
        <f>IF(LEN(TRIM('3 Освоение программы'!B99))=0," ",'3 Освоение программы'!B99)</f>
        <v xml:space="preserve"> </v>
      </c>
      <c r="AF45" s="193"/>
      <c r="AG45" s="193"/>
      <c r="AH45" s="193"/>
      <c r="AI45" s="193"/>
      <c r="AJ45" s="193"/>
      <c r="AK45" s="193"/>
      <c r="AL45" s="193"/>
      <c r="AM45" s="193"/>
      <c r="AN45" s="193"/>
      <c r="AO45" s="193"/>
      <c r="AP45" s="193"/>
      <c r="AQ45" s="93"/>
      <c r="AR45" s="183" t="str">
        <f>IF(LEN(TRIM('3 Освоение программы'!C99))=0," ",'3 Освоение программы'!C99)</f>
        <v xml:space="preserve"> </v>
      </c>
      <c r="AS45" s="183"/>
      <c r="AT45" s="183"/>
      <c r="AU45" s="183"/>
      <c r="AV45" s="93"/>
      <c r="AW45" s="183" t="str">
        <f>IF(LEN(TRIM('3 Освоение программы'!D99))=0," ",'3 Освоение программы'!D99)</f>
        <v xml:space="preserve"> </v>
      </c>
      <c r="AX45" s="183"/>
      <c r="AY45" s="183"/>
      <c r="AZ45" s="183"/>
      <c r="BA45" s="183"/>
      <c r="BB45" s="90"/>
      <c r="BC45" s="104"/>
    </row>
    <row r="46" spans="1:55" ht="9.9499999999999993" customHeight="1" x14ac:dyDescent="0.25">
      <c r="A46" s="91"/>
      <c r="B46" s="90"/>
      <c r="C46" s="179" t="str">
        <f>IF(LEN(TRIM('3 Освоение программы'!B32))=0," ",'3 Освоение программы'!B32)</f>
        <v>Дисциплина 31</v>
      </c>
      <c r="D46" s="179"/>
      <c r="E46" s="179"/>
      <c r="F46" s="179"/>
      <c r="G46" s="179"/>
      <c r="H46" s="179"/>
      <c r="I46" s="179"/>
      <c r="J46" s="179"/>
      <c r="K46" s="179"/>
      <c r="L46" s="179"/>
      <c r="M46" s="179"/>
      <c r="N46" s="179"/>
      <c r="O46" s="115"/>
      <c r="P46" s="180" t="str">
        <f>IF(LEN(TRIM('3 Освоение программы'!C32))=0," ",'3 Освоение программы'!C32)</f>
        <v>?? з.е.</v>
      </c>
      <c r="Q46" s="180"/>
      <c r="R46" s="180"/>
      <c r="S46" s="114"/>
      <c r="T46" s="114"/>
      <c r="U46" s="180" t="str">
        <f>IF(LEN(TRIM('3 Освоение программы'!D32))=0," ",'3 Освоение программы'!D32)</f>
        <v>оценка</v>
      </c>
      <c r="V46" s="180"/>
      <c r="W46" s="180"/>
      <c r="X46" s="180"/>
      <c r="Y46" s="90"/>
      <c r="Z46" s="90"/>
      <c r="AA46" s="90"/>
      <c r="AB46" s="90"/>
      <c r="AC46" s="90"/>
      <c r="AD46" s="90"/>
      <c r="AE46" s="193" t="str">
        <f>IF(LEN(TRIM('3 Освоение программы'!B100))=0," ",'3 Освоение программы'!B100)</f>
        <v xml:space="preserve"> </v>
      </c>
      <c r="AF46" s="193"/>
      <c r="AG46" s="193"/>
      <c r="AH46" s="193"/>
      <c r="AI46" s="193"/>
      <c r="AJ46" s="193"/>
      <c r="AK46" s="193"/>
      <c r="AL46" s="193"/>
      <c r="AM46" s="193"/>
      <c r="AN46" s="193"/>
      <c r="AO46" s="193"/>
      <c r="AP46" s="193"/>
      <c r="AQ46" s="93"/>
      <c r="AR46" s="183" t="str">
        <f>IF(LEN(TRIM('3 Освоение программы'!C100))=0," ",'3 Освоение программы'!C100)</f>
        <v xml:space="preserve"> </v>
      </c>
      <c r="AS46" s="183"/>
      <c r="AT46" s="183"/>
      <c r="AU46" s="183"/>
      <c r="AV46" s="93"/>
      <c r="AW46" s="183" t="str">
        <f>IF(LEN(TRIM('3 Освоение программы'!D100))=0," ",'3 Освоение программы'!D100)</f>
        <v xml:space="preserve"> </v>
      </c>
      <c r="AX46" s="183"/>
      <c r="AY46" s="183"/>
      <c r="AZ46" s="183"/>
      <c r="BA46" s="183"/>
      <c r="BB46" s="90"/>
      <c r="BC46" s="104"/>
    </row>
    <row r="47" spans="1:55" ht="9.9499999999999993" customHeight="1" x14ac:dyDescent="0.25">
      <c r="A47" s="91"/>
      <c r="B47" s="90"/>
      <c r="C47" s="179" t="str">
        <f>IF(LEN(TRIM('3 Освоение программы'!B33))=0," ",'3 Освоение программы'!B33)</f>
        <v>Дисциплина 32</v>
      </c>
      <c r="D47" s="179"/>
      <c r="E47" s="179"/>
      <c r="F47" s="179"/>
      <c r="G47" s="179"/>
      <c r="H47" s="179"/>
      <c r="I47" s="179"/>
      <c r="J47" s="179"/>
      <c r="K47" s="179"/>
      <c r="L47" s="179"/>
      <c r="M47" s="179"/>
      <c r="N47" s="179"/>
      <c r="O47" s="115"/>
      <c r="P47" s="180" t="str">
        <f>IF(LEN(TRIM('3 Освоение программы'!C33))=0," ",'3 Освоение программы'!C33)</f>
        <v>?? з.е.</v>
      </c>
      <c r="Q47" s="180"/>
      <c r="R47" s="180"/>
      <c r="S47" s="114"/>
      <c r="T47" s="114"/>
      <c r="U47" s="180" t="str">
        <f>IF(LEN(TRIM('3 Освоение программы'!D33))=0," ",'3 Освоение программы'!D33)</f>
        <v>оценка</v>
      </c>
      <c r="V47" s="180"/>
      <c r="W47" s="180"/>
      <c r="X47" s="180"/>
      <c r="Y47" s="90"/>
      <c r="Z47" s="90"/>
      <c r="AA47" s="90"/>
      <c r="AB47" s="90"/>
      <c r="AC47" s="90"/>
      <c r="AD47" s="90"/>
      <c r="AE47" s="193" t="str">
        <f>IF(LEN(TRIM('3 Освоение программы'!B101))=0," ",'3 Освоение программы'!B101)</f>
        <v xml:space="preserve"> </v>
      </c>
      <c r="AF47" s="193"/>
      <c r="AG47" s="193"/>
      <c r="AH47" s="193"/>
      <c r="AI47" s="193"/>
      <c r="AJ47" s="193"/>
      <c r="AK47" s="193"/>
      <c r="AL47" s="193"/>
      <c r="AM47" s="193"/>
      <c r="AN47" s="193"/>
      <c r="AO47" s="193"/>
      <c r="AP47" s="193"/>
      <c r="AQ47" s="93"/>
      <c r="AR47" s="183" t="str">
        <f>IF(LEN(TRIM('3 Освоение программы'!C101))=0," ",'3 Освоение программы'!C101)</f>
        <v xml:space="preserve"> </v>
      </c>
      <c r="AS47" s="183"/>
      <c r="AT47" s="183"/>
      <c r="AU47" s="183"/>
      <c r="AV47" s="93"/>
      <c r="AW47" s="183" t="str">
        <f>IF(LEN(TRIM('3 Освоение программы'!D101))=0," ",'3 Освоение программы'!D101)</f>
        <v xml:space="preserve"> </v>
      </c>
      <c r="AX47" s="183"/>
      <c r="AY47" s="183"/>
      <c r="AZ47" s="183"/>
      <c r="BA47" s="183"/>
      <c r="BB47" s="90"/>
      <c r="BC47" s="104"/>
    </row>
    <row r="48" spans="1:55" ht="9.9499999999999993" customHeight="1" x14ac:dyDescent="0.25">
      <c r="A48" s="91"/>
      <c r="B48" s="90"/>
      <c r="C48" s="179" t="str">
        <f>IF(LEN(TRIM('3 Освоение программы'!B34))=0," ",'3 Освоение программы'!B34)</f>
        <v>Дисциплина 33</v>
      </c>
      <c r="D48" s="179"/>
      <c r="E48" s="179"/>
      <c r="F48" s="179"/>
      <c r="G48" s="179"/>
      <c r="H48" s="179"/>
      <c r="I48" s="179"/>
      <c r="J48" s="179"/>
      <c r="K48" s="179"/>
      <c r="L48" s="179"/>
      <c r="M48" s="179"/>
      <c r="N48" s="179"/>
      <c r="O48" s="115"/>
      <c r="P48" s="180" t="str">
        <f>IF(LEN(TRIM('3 Освоение программы'!C34))=0," ",'3 Освоение программы'!C34)</f>
        <v>?? з.е.</v>
      </c>
      <c r="Q48" s="180"/>
      <c r="R48" s="180"/>
      <c r="S48" s="114"/>
      <c r="T48" s="114"/>
      <c r="U48" s="180" t="str">
        <f>IF(LEN(TRIM('3 Освоение программы'!D34))=0," ",'3 Освоение программы'!D34)</f>
        <v>оценка</v>
      </c>
      <c r="V48" s="180"/>
      <c r="W48" s="180"/>
      <c r="X48" s="180"/>
      <c r="Y48" s="90"/>
      <c r="Z48" s="90"/>
      <c r="AA48" s="90"/>
      <c r="AB48" s="90"/>
      <c r="AC48" s="90"/>
      <c r="AD48" s="90"/>
      <c r="AE48" s="193" t="str">
        <f>IF(LEN(TRIM('3 Освоение программы'!B102))=0," ",'3 Освоение программы'!B102)</f>
        <v xml:space="preserve"> </v>
      </c>
      <c r="AF48" s="193"/>
      <c r="AG48" s="193"/>
      <c r="AH48" s="193"/>
      <c r="AI48" s="193"/>
      <c r="AJ48" s="193"/>
      <c r="AK48" s="193"/>
      <c r="AL48" s="193"/>
      <c r="AM48" s="193"/>
      <c r="AN48" s="193"/>
      <c r="AO48" s="193"/>
      <c r="AP48" s="193"/>
      <c r="AQ48" s="93"/>
      <c r="AR48" s="183" t="str">
        <f>IF(LEN(TRIM('3 Освоение программы'!C102))=0," ",'3 Освоение программы'!C102)</f>
        <v xml:space="preserve"> </v>
      </c>
      <c r="AS48" s="183"/>
      <c r="AT48" s="183"/>
      <c r="AU48" s="183"/>
      <c r="AV48" s="93"/>
      <c r="AW48" s="183" t="str">
        <f>IF(LEN(TRIM('3 Освоение программы'!D102))=0," ",'3 Освоение программы'!D102)</f>
        <v xml:space="preserve"> </v>
      </c>
      <c r="AX48" s="183"/>
      <c r="AY48" s="183"/>
      <c r="AZ48" s="183"/>
      <c r="BA48" s="183"/>
      <c r="BB48" s="90"/>
      <c r="BC48" s="104"/>
    </row>
    <row r="49" spans="1:55" ht="9.9499999999999993" customHeight="1" x14ac:dyDescent="0.25">
      <c r="A49" s="91"/>
      <c r="B49" s="90"/>
      <c r="C49" s="179" t="str">
        <f>IF(LEN(TRIM('3 Освоение программы'!B35))=0," ",'3 Освоение программы'!B35)</f>
        <v>Дисциплина 34</v>
      </c>
      <c r="D49" s="179"/>
      <c r="E49" s="179"/>
      <c r="F49" s="179"/>
      <c r="G49" s="179"/>
      <c r="H49" s="179"/>
      <c r="I49" s="179"/>
      <c r="J49" s="179"/>
      <c r="K49" s="179"/>
      <c r="L49" s="179"/>
      <c r="M49" s="179"/>
      <c r="N49" s="179"/>
      <c r="O49" s="115"/>
      <c r="P49" s="180" t="str">
        <f>IF(LEN(TRIM('3 Освоение программы'!C35))=0," ",'3 Освоение программы'!C35)</f>
        <v>?? з.е.</v>
      </c>
      <c r="Q49" s="180"/>
      <c r="R49" s="180"/>
      <c r="S49" s="114"/>
      <c r="T49" s="114"/>
      <c r="U49" s="180" t="str">
        <f>IF(LEN(TRIM('3 Освоение программы'!D35))=0," ",'3 Освоение программы'!D35)</f>
        <v>оценка</v>
      </c>
      <c r="V49" s="180"/>
      <c r="W49" s="180"/>
      <c r="X49" s="180"/>
      <c r="Y49" s="90"/>
      <c r="Z49" s="90"/>
      <c r="AA49" s="90"/>
      <c r="AB49" s="90"/>
      <c r="AC49" s="90"/>
      <c r="AD49" s="90"/>
      <c r="AE49" s="193" t="str">
        <f>IF(LEN(TRIM('3 Освоение программы'!B103))=0," ",'3 Освоение программы'!B103)</f>
        <v xml:space="preserve"> </v>
      </c>
      <c r="AF49" s="193"/>
      <c r="AG49" s="193"/>
      <c r="AH49" s="193"/>
      <c r="AI49" s="193"/>
      <c r="AJ49" s="193"/>
      <c r="AK49" s="193"/>
      <c r="AL49" s="193"/>
      <c r="AM49" s="193"/>
      <c r="AN49" s="193"/>
      <c r="AO49" s="193"/>
      <c r="AP49" s="193"/>
      <c r="AQ49" s="93"/>
      <c r="AR49" s="183" t="str">
        <f>IF(LEN(TRIM('3 Освоение программы'!C103))=0," ",'3 Освоение программы'!C103)</f>
        <v xml:space="preserve"> </v>
      </c>
      <c r="AS49" s="183"/>
      <c r="AT49" s="183"/>
      <c r="AU49" s="183"/>
      <c r="AV49" s="93"/>
      <c r="AW49" s="183" t="str">
        <f>IF(LEN(TRIM('3 Освоение программы'!D103))=0," ",'3 Освоение программы'!D103)</f>
        <v xml:space="preserve"> </v>
      </c>
      <c r="AX49" s="183"/>
      <c r="AY49" s="183"/>
      <c r="AZ49" s="183"/>
      <c r="BA49" s="183"/>
      <c r="BB49" s="90"/>
      <c r="BC49" s="104"/>
    </row>
    <row r="50" spans="1:55" ht="9.9499999999999993" customHeight="1" x14ac:dyDescent="0.25">
      <c r="A50" s="91"/>
      <c r="B50" s="90"/>
      <c r="C50" s="179" t="str">
        <f>IF(LEN(TRIM('3 Освоение программы'!B36))=0," ",'3 Освоение программы'!B36)</f>
        <v>Дисциплина 35</v>
      </c>
      <c r="D50" s="179"/>
      <c r="E50" s="179"/>
      <c r="F50" s="179"/>
      <c r="G50" s="179"/>
      <c r="H50" s="179"/>
      <c r="I50" s="179"/>
      <c r="J50" s="179"/>
      <c r="K50" s="179"/>
      <c r="L50" s="179"/>
      <c r="M50" s="179"/>
      <c r="N50" s="179"/>
      <c r="O50" s="115"/>
      <c r="P50" s="180" t="str">
        <f>IF(LEN(TRIM('3 Освоение программы'!C36))=0," ",'3 Освоение программы'!C36)</f>
        <v>?? з.е.</v>
      </c>
      <c r="Q50" s="180"/>
      <c r="R50" s="180"/>
      <c r="S50" s="114"/>
      <c r="T50" s="114"/>
      <c r="U50" s="180" t="str">
        <f>IF(LEN(TRIM('3 Освоение программы'!D36))=0," ",'3 Освоение программы'!D36)</f>
        <v>оценка</v>
      </c>
      <c r="V50" s="180"/>
      <c r="W50" s="180"/>
      <c r="X50" s="180"/>
      <c r="Y50" s="90"/>
      <c r="Z50" s="90"/>
      <c r="AA50" s="90"/>
      <c r="AB50" s="90"/>
      <c r="AC50" s="90"/>
      <c r="AD50" s="90"/>
      <c r="AE50" s="193" t="str">
        <f>IF(LEN(TRIM('3 Освоение программы'!B104))=0," ",'3 Освоение программы'!B104)</f>
        <v xml:space="preserve"> </v>
      </c>
      <c r="AF50" s="193"/>
      <c r="AG50" s="193"/>
      <c r="AH50" s="193"/>
      <c r="AI50" s="193"/>
      <c r="AJ50" s="193"/>
      <c r="AK50" s="193"/>
      <c r="AL50" s="193"/>
      <c r="AM50" s="193"/>
      <c r="AN50" s="193"/>
      <c r="AO50" s="193"/>
      <c r="AP50" s="193"/>
      <c r="AQ50" s="93"/>
      <c r="AR50" s="183" t="str">
        <f>IF(LEN(TRIM('3 Освоение программы'!C104))=0," ",'3 Освоение программы'!C104)</f>
        <v xml:space="preserve"> </v>
      </c>
      <c r="AS50" s="183"/>
      <c r="AT50" s="183"/>
      <c r="AU50" s="183"/>
      <c r="AV50" s="93"/>
      <c r="AW50" s="183" t="str">
        <f>IF(LEN(TRIM('3 Освоение программы'!D104))=0," ",'3 Освоение программы'!D104)</f>
        <v xml:space="preserve"> </v>
      </c>
      <c r="AX50" s="183"/>
      <c r="AY50" s="183"/>
      <c r="AZ50" s="183"/>
      <c r="BA50" s="183"/>
      <c r="BB50" s="90"/>
      <c r="BC50" s="104"/>
    </row>
    <row r="51" spans="1:55" ht="9.9499999999999993" customHeight="1" x14ac:dyDescent="0.25">
      <c r="A51" s="91"/>
      <c r="B51" s="90"/>
      <c r="C51" s="179" t="str">
        <f>IF(LEN(TRIM('3 Освоение программы'!B37))=0," ",'3 Освоение программы'!B37)</f>
        <v>Дисциплина 36</v>
      </c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15"/>
      <c r="P51" s="180" t="str">
        <f>IF(LEN(TRIM('3 Освоение программы'!C37))=0," ",'3 Освоение программы'!C37)</f>
        <v>?? з.е.</v>
      </c>
      <c r="Q51" s="180"/>
      <c r="R51" s="180"/>
      <c r="S51" s="114"/>
      <c r="T51" s="114"/>
      <c r="U51" s="180" t="str">
        <f>IF(LEN(TRIM('3 Освоение программы'!D37))=0," ",'3 Освоение программы'!D37)</f>
        <v>оценка</v>
      </c>
      <c r="V51" s="180"/>
      <c r="W51" s="180"/>
      <c r="X51" s="180"/>
      <c r="Y51" s="90"/>
      <c r="Z51" s="90"/>
      <c r="AA51" s="90"/>
      <c r="AB51" s="90"/>
      <c r="AC51" s="90"/>
      <c r="AD51" s="90"/>
      <c r="AE51" s="193" t="str">
        <f>IF(LEN(TRIM('3 Освоение программы'!B105))=0," ",'3 Освоение программы'!B105)</f>
        <v xml:space="preserve"> </v>
      </c>
      <c r="AF51" s="193"/>
      <c r="AG51" s="193"/>
      <c r="AH51" s="193"/>
      <c r="AI51" s="193"/>
      <c r="AJ51" s="193"/>
      <c r="AK51" s="193"/>
      <c r="AL51" s="193"/>
      <c r="AM51" s="193"/>
      <c r="AN51" s="193"/>
      <c r="AO51" s="193"/>
      <c r="AP51" s="193"/>
      <c r="AQ51" s="93"/>
      <c r="AR51" s="183" t="str">
        <f>IF(LEN(TRIM('3 Освоение программы'!C105))=0," ",'3 Освоение программы'!C105)</f>
        <v xml:space="preserve"> </v>
      </c>
      <c r="AS51" s="183"/>
      <c r="AT51" s="183"/>
      <c r="AU51" s="183"/>
      <c r="AV51" s="93"/>
      <c r="AW51" s="183" t="str">
        <f>IF(LEN(TRIM('3 Освоение программы'!D105))=0," ",'3 Освоение программы'!D105)</f>
        <v xml:space="preserve"> </v>
      </c>
      <c r="AX51" s="183"/>
      <c r="AY51" s="183"/>
      <c r="AZ51" s="183"/>
      <c r="BA51" s="183"/>
      <c r="BB51" s="90"/>
      <c r="BC51" s="104"/>
    </row>
    <row r="52" spans="1:55" ht="9.9499999999999993" customHeight="1" x14ac:dyDescent="0.25">
      <c r="A52" s="91"/>
      <c r="B52" s="90"/>
      <c r="C52" s="179" t="str">
        <f>IF(LEN(TRIM('3 Освоение программы'!B38))=0," ",'3 Освоение программы'!B38)</f>
        <v>Дисциплина 37</v>
      </c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15"/>
      <c r="P52" s="180" t="str">
        <f>IF(LEN(TRIM('3 Освоение программы'!C38))=0," ",'3 Освоение программы'!C38)</f>
        <v>?? з.е.</v>
      </c>
      <c r="Q52" s="180"/>
      <c r="R52" s="180"/>
      <c r="S52" s="114"/>
      <c r="T52" s="114"/>
      <c r="U52" s="180" t="str">
        <f>IF(LEN(TRIM('3 Освоение программы'!D38))=0," ",'3 Освоение программы'!D38)</f>
        <v>оценка</v>
      </c>
      <c r="V52" s="180"/>
      <c r="W52" s="180"/>
      <c r="X52" s="180"/>
      <c r="Y52" s="90"/>
      <c r="Z52" s="90"/>
      <c r="AA52" s="90"/>
      <c r="AB52" s="90"/>
      <c r="AC52" s="90"/>
      <c r="AD52" s="90"/>
      <c r="AE52" s="193" t="str">
        <f>IF(LEN(TRIM('3 Освоение программы'!B106))=0," ",'3 Освоение программы'!B106)</f>
        <v xml:space="preserve"> </v>
      </c>
      <c r="AF52" s="193"/>
      <c r="AG52" s="193"/>
      <c r="AH52" s="193"/>
      <c r="AI52" s="193"/>
      <c r="AJ52" s="193"/>
      <c r="AK52" s="193"/>
      <c r="AL52" s="193"/>
      <c r="AM52" s="193"/>
      <c r="AN52" s="193"/>
      <c r="AO52" s="193"/>
      <c r="AP52" s="193"/>
      <c r="AQ52" s="93"/>
      <c r="AR52" s="183" t="str">
        <f>IF(LEN(TRIM('3 Освоение программы'!C106))=0," ",'3 Освоение программы'!C106)</f>
        <v xml:space="preserve"> </v>
      </c>
      <c r="AS52" s="183"/>
      <c r="AT52" s="183"/>
      <c r="AU52" s="183"/>
      <c r="AV52" s="93"/>
      <c r="AW52" s="183" t="str">
        <f>IF(LEN(TRIM('3 Освоение программы'!D106))=0," ",'3 Освоение программы'!D106)</f>
        <v xml:space="preserve"> </v>
      </c>
      <c r="AX52" s="183"/>
      <c r="AY52" s="183"/>
      <c r="AZ52" s="183"/>
      <c r="BA52" s="183"/>
      <c r="BB52" s="90"/>
      <c r="BC52" s="104"/>
    </row>
    <row r="53" spans="1:55" ht="9.9499999999999993" customHeight="1" x14ac:dyDescent="0.25">
      <c r="A53" s="91"/>
      <c r="B53" s="90"/>
      <c r="C53" s="179" t="str">
        <f>IF(LEN(TRIM('3 Освоение программы'!B39))=0," ",'3 Освоение программы'!B39)</f>
        <v>Дисциплина 38</v>
      </c>
      <c r="D53" s="179"/>
      <c r="E53" s="179"/>
      <c r="F53" s="179"/>
      <c r="G53" s="179"/>
      <c r="H53" s="179"/>
      <c r="I53" s="179"/>
      <c r="J53" s="179"/>
      <c r="K53" s="179"/>
      <c r="L53" s="179"/>
      <c r="M53" s="179"/>
      <c r="N53" s="179"/>
      <c r="O53" s="115"/>
      <c r="P53" s="180" t="str">
        <f>IF(LEN(TRIM('3 Освоение программы'!C39))=0," ",'3 Освоение программы'!C39)</f>
        <v>?? з.е.</v>
      </c>
      <c r="Q53" s="180"/>
      <c r="R53" s="180"/>
      <c r="S53" s="114"/>
      <c r="T53" s="114"/>
      <c r="U53" s="180" t="str">
        <f>IF(LEN(TRIM('3 Освоение программы'!D39))=0," ",'3 Освоение программы'!D39)</f>
        <v>оценка</v>
      </c>
      <c r="V53" s="180"/>
      <c r="W53" s="180"/>
      <c r="X53" s="180"/>
      <c r="Y53" s="90"/>
      <c r="Z53" s="90"/>
      <c r="AA53" s="90"/>
      <c r="AB53" s="90"/>
      <c r="AC53" s="90"/>
      <c r="AD53" s="90"/>
      <c r="AE53" s="193" t="str">
        <f>IF(LEN(TRIM('3 Освоение программы'!B107))=0," ",'3 Освоение программы'!B107)</f>
        <v xml:space="preserve"> </v>
      </c>
      <c r="AF53" s="193"/>
      <c r="AG53" s="193"/>
      <c r="AH53" s="193"/>
      <c r="AI53" s="193"/>
      <c r="AJ53" s="193"/>
      <c r="AK53" s="193"/>
      <c r="AL53" s="193"/>
      <c r="AM53" s="193"/>
      <c r="AN53" s="193"/>
      <c r="AO53" s="193"/>
      <c r="AP53" s="193"/>
      <c r="AQ53" s="93"/>
      <c r="AR53" s="183" t="str">
        <f>IF(LEN(TRIM('3 Освоение программы'!C107))=0," ",'3 Освоение программы'!C107)</f>
        <v xml:space="preserve"> </v>
      </c>
      <c r="AS53" s="183"/>
      <c r="AT53" s="183"/>
      <c r="AU53" s="183"/>
      <c r="AV53" s="93"/>
      <c r="AW53" s="183" t="str">
        <f>IF(LEN(TRIM('3 Освоение программы'!D107))=0," ",'3 Освоение программы'!D107)</f>
        <v xml:space="preserve"> </v>
      </c>
      <c r="AX53" s="183"/>
      <c r="AY53" s="183"/>
      <c r="AZ53" s="183"/>
      <c r="BA53" s="183"/>
      <c r="BB53" s="90"/>
      <c r="BC53" s="104"/>
    </row>
    <row r="54" spans="1:55" ht="9.9499999999999993" customHeight="1" x14ac:dyDescent="0.25">
      <c r="A54" s="91"/>
      <c r="B54" s="90"/>
      <c r="C54" s="179" t="str">
        <f>IF(LEN(TRIM('3 Освоение программы'!B40))=0," ",'3 Освоение программы'!B40)</f>
        <v>Дисциплина 39</v>
      </c>
      <c r="D54" s="179"/>
      <c r="E54" s="179"/>
      <c r="F54" s="179"/>
      <c r="G54" s="179"/>
      <c r="H54" s="179"/>
      <c r="I54" s="179"/>
      <c r="J54" s="179"/>
      <c r="K54" s="179"/>
      <c r="L54" s="179"/>
      <c r="M54" s="179"/>
      <c r="N54" s="179"/>
      <c r="O54" s="115"/>
      <c r="P54" s="180" t="str">
        <f>IF(LEN(TRIM('3 Освоение программы'!C40))=0," ",'3 Освоение программы'!C40)</f>
        <v>?? з.е.</v>
      </c>
      <c r="Q54" s="180"/>
      <c r="R54" s="180"/>
      <c r="S54" s="114"/>
      <c r="T54" s="114"/>
      <c r="U54" s="180" t="str">
        <f>IF(LEN(TRIM('3 Освоение программы'!D40))=0," ",'3 Освоение программы'!D40)</f>
        <v>оценка</v>
      </c>
      <c r="V54" s="180"/>
      <c r="W54" s="180"/>
      <c r="X54" s="180"/>
      <c r="Y54" s="90"/>
      <c r="Z54" s="90"/>
      <c r="AA54" s="90"/>
      <c r="AB54" s="90"/>
      <c r="AC54" s="90"/>
      <c r="AD54" s="90"/>
      <c r="AE54" s="193" t="str">
        <f>IF(LEN(TRIM('3 Освоение программы'!B108))=0," ",'3 Освоение программы'!B108)</f>
        <v xml:space="preserve"> </v>
      </c>
      <c r="AF54" s="193"/>
      <c r="AG54" s="193"/>
      <c r="AH54" s="193"/>
      <c r="AI54" s="193"/>
      <c r="AJ54" s="193"/>
      <c r="AK54" s="193"/>
      <c r="AL54" s="193"/>
      <c r="AM54" s="193"/>
      <c r="AN54" s="193"/>
      <c r="AO54" s="193"/>
      <c r="AP54" s="193"/>
      <c r="AQ54" s="93"/>
      <c r="AR54" s="183" t="str">
        <f>IF(LEN(TRIM('3 Освоение программы'!C108))=0," ",'3 Освоение программы'!C108)</f>
        <v xml:space="preserve"> </v>
      </c>
      <c r="AS54" s="183"/>
      <c r="AT54" s="183"/>
      <c r="AU54" s="183"/>
      <c r="AV54" s="93"/>
      <c r="AW54" s="183" t="str">
        <f>IF(LEN(TRIM('3 Освоение программы'!D108))=0," ",'3 Освоение программы'!D108)</f>
        <v xml:space="preserve"> </v>
      </c>
      <c r="AX54" s="183"/>
      <c r="AY54" s="183"/>
      <c r="AZ54" s="183"/>
      <c r="BA54" s="183"/>
      <c r="BB54" s="90"/>
      <c r="BC54" s="104"/>
    </row>
    <row r="55" spans="1:55" ht="9.9499999999999993" customHeight="1" x14ac:dyDescent="0.25">
      <c r="A55" s="91"/>
      <c r="B55" s="90"/>
      <c r="C55" s="179" t="str">
        <f>IF(LEN(TRIM('3 Освоение программы'!B41))=0," ",'3 Освоение программы'!B41)</f>
        <v>Дисциплина 40</v>
      </c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15"/>
      <c r="P55" s="180" t="str">
        <f>IF(LEN(TRIM('3 Освоение программы'!C41))=0," ",'3 Освоение программы'!C41)</f>
        <v>?? з.е.</v>
      </c>
      <c r="Q55" s="180"/>
      <c r="R55" s="180"/>
      <c r="S55" s="114"/>
      <c r="T55" s="114"/>
      <c r="U55" s="180" t="str">
        <f>IF(LEN(TRIM('3 Освоение программы'!D41))=0," ",'3 Освоение программы'!D41)</f>
        <v>оценка</v>
      </c>
      <c r="V55" s="180"/>
      <c r="W55" s="180"/>
      <c r="X55" s="180"/>
      <c r="Y55" s="90"/>
      <c r="Z55" s="90"/>
      <c r="AA55" s="90"/>
      <c r="AB55" s="90"/>
      <c r="AC55" s="90"/>
      <c r="AD55" s="90"/>
      <c r="AE55" s="193" t="str">
        <f>IF(LEN(TRIM('3 Освоение программы'!B109))=0," ",'3 Освоение программы'!B109)</f>
        <v xml:space="preserve"> </v>
      </c>
      <c r="AF55" s="193"/>
      <c r="AG55" s="193"/>
      <c r="AH55" s="193"/>
      <c r="AI55" s="193"/>
      <c r="AJ55" s="193"/>
      <c r="AK55" s="193"/>
      <c r="AL55" s="193"/>
      <c r="AM55" s="193"/>
      <c r="AN55" s="193"/>
      <c r="AO55" s="193"/>
      <c r="AP55" s="193"/>
      <c r="AQ55" s="93"/>
      <c r="AR55" s="183" t="str">
        <f>IF(LEN(TRIM('3 Освоение программы'!C109))=0," ",'3 Освоение программы'!C109)</f>
        <v xml:space="preserve"> </v>
      </c>
      <c r="AS55" s="183"/>
      <c r="AT55" s="183"/>
      <c r="AU55" s="183"/>
      <c r="AV55" s="93"/>
      <c r="AW55" s="183" t="str">
        <f>IF(LEN(TRIM('3 Освоение программы'!D109))=0," ",'3 Освоение программы'!D109)</f>
        <v xml:space="preserve"> </v>
      </c>
      <c r="AX55" s="183"/>
      <c r="AY55" s="183"/>
      <c r="AZ55" s="183"/>
      <c r="BA55" s="183"/>
      <c r="BB55" s="90"/>
      <c r="BC55" s="104"/>
    </row>
    <row r="56" spans="1:55" ht="9.9499999999999993" customHeight="1" x14ac:dyDescent="0.25">
      <c r="A56" s="91"/>
      <c r="B56" s="90"/>
      <c r="C56" s="179" t="str">
        <f>IF(LEN(TRIM('3 Освоение программы'!B42))=0," ",'3 Освоение программы'!B42)</f>
        <v>Дисциплина 41</v>
      </c>
      <c r="D56" s="179"/>
      <c r="E56" s="179"/>
      <c r="F56" s="179"/>
      <c r="G56" s="179"/>
      <c r="H56" s="179"/>
      <c r="I56" s="179"/>
      <c r="J56" s="179"/>
      <c r="K56" s="179"/>
      <c r="L56" s="179"/>
      <c r="M56" s="179"/>
      <c r="N56" s="179"/>
      <c r="O56" s="115"/>
      <c r="P56" s="180" t="str">
        <f>IF(LEN(TRIM('3 Освоение программы'!C42))=0," ",'3 Освоение программы'!C42)</f>
        <v>?? з.е.</v>
      </c>
      <c r="Q56" s="180"/>
      <c r="R56" s="180"/>
      <c r="S56" s="114"/>
      <c r="T56" s="114"/>
      <c r="U56" s="180" t="str">
        <f>IF(LEN(TRIM('3 Освоение программы'!D42))=0," ",'3 Освоение программы'!D42)</f>
        <v>оценка</v>
      </c>
      <c r="V56" s="180"/>
      <c r="W56" s="180"/>
      <c r="X56" s="180"/>
      <c r="Y56" s="90"/>
      <c r="Z56" s="90"/>
      <c r="AA56" s="90"/>
      <c r="AB56" s="90"/>
      <c r="AC56" s="90"/>
      <c r="AD56" s="90"/>
      <c r="AE56" s="193" t="str">
        <f>IF(LEN(TRIM('3 Освоение программы'!B110))=0," ",'3 Освоение программы'!B110)</f>
        <v xml:space="preserve"> </v>
      </c>
      <c r="AF56" s="193"/>
      <c r="AG56" s="193"/>
      <c r="AH56" s="193"/>
      <c r="AI56" s="193"/>
      <c r="AJ56" s="193"/>
      <c r="AK56" s="193"/>
      <c r="AL56" s="193"/>
      <c r="AM56" s="193"/>
      <c r="AN56" s="193"/>
      <c r="AO56" s="193"/>
      <c r="AP56" s="193"/>
      <c r="AQ56" s="93"/>
      <c r="AR56" s="183" t="str">
        <f>IF(LEN(TRIM('3 Освоение программы'!C110))=0," ",'3 Освоение программы'!C110)</f>
        <v xml:space="preserve"> </v>
      </c>
      <c r="AS56" s="183"/>
      <c r="AT56" s="183"/>
      <c r="AU56" s="183"/>
      <c r="AV56" s="93"/>
      <c r="AW56" s="183" t="str">
        <f>IF(LEN(TRIM('3 Освоение программы'!D110))=0," ",'3 Освоение программы'!D110)</f>
        <v xml:space="preserve"> </v>
      </c>
      <c r="AX56" s="183"/>
      <c r="AY56" s="183"/>
      <c r="AZ56" s="183"/>
      <c r="BA56" s="183"/>
      <c r="BB56" s="90"/>
      <c r="BC56" s="104"/>
    </row>
    <row r="57" spans="1:55" ht="9.9499999999999993" customHeight="1" x14ac:dyDescent="0.25">
      <c r="A57" s="91"/>
      <c r="B57" s="90"/>
      <c r="C57" s="179" t="str">
        <f>IF(LEN(TRIM('3 Освоение программы'!B43))=0," ",'3 Освоение программы'!B43)</f>
        <v>Дисциплина 42</v>
      </c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15"/>
      <c r="P57" s="180" t="str">
        <f>IF(LEN(TRIM('3 Освоение программы'!C43))=0," ",'3 Освоение программы'!C43)</f>
        <v>?? з.е.</v>
      </c>
      <c r="Q57" s="180"/>
      <c r="R57" s="180"/>
      <c r="S57" s="114"/>
      <c r="T57" s="114"/>
      <c r="U57" s="180" t="str">
        <f>IF(LEN(TRIM('3 Освоение программы'!D43))=0," ",'3 Освоение программы'!D43)</f>
        <v>оценка</v>
      </c>
      <c r="V57" s="180"/>
      <c r="W57" s="180"/>
      <c r="X57" s="180"/>
      <c r="Y57" s="90"/>
      <c r="Z57" s="90"/>
      <c r="AA57" s="90"/>
      <c r="AB57" s="90"/>
      <c r="AC57" s="90"/>
      <c r="AD57" s="90"/>
      <c r="AE57" s="193" t="str">
        <f>IF(LEN(TRIM('3 Освоение программы'!B111))=0," ",'3 Освоение программы'!B111)</f>
        <v xml:space="preserve"> </v>
      </c>
      <c r="AF57" s="193"/>
      <c r="AG57" s="193"/>
      <c r="AH57" s="193"/>
      <c r="AI57" s="193"/>
      <c r="AJ57" s="193"/>
      <c r="AK57" s="193"/>
      <c r="AL57" s="193"/>
      <c r="AM57" s="193"/>
      <c r="AN57" s="193"/>
      <c r="AO57" s="193"/>
      <c r="AP57" s="193"/>
      <c r="AQ57" s="93"/>
      <c r="AR57" s="183" t="str">
        <f>IF(LEN(TRIM('3 Освоение программы'!C111))=0," ",'3 Освоение программы'!C111)</f>
        <v xml:space="preserve"> </v>
      </c>
      <c r="AS57" s="183"/>
      <c r="AT57" s="183"/>
      <c r="AU57" s="183"/>
      <c r="AV57" s="93"/>
      <c r="AW57" s="183" t="str">
        <f>IF(LEN(TRIM('3 Освоение программы'!D111))=0," ",'3 Освоение программы'!D111)</f>
        <v xml:space="preserve"> </v>
      </c>
      <c r="AX57" s="183"/>
      <c r="AY57" s="183"/>
      <c r="AZ57" s="183"/>
      <c r="BA57" s="183"/>
      <c r="BB57" s="90"/>
      <c r="BC57" s="104"/>
    </row>
    <row r="58" spans="1:55" ht="9.9499999999999993" customHeight="1" x14ac:dyDescent="0.25">
      <c r="A58" s="91"/>
      <c r="B58" s="90"/>
      <c r="C58" s="179" t="str">
        <f>IF(LEN(TRIM('3 Освоение программы'!B44))=0," ",'3 Освоение программы'!B44)</f>
        <v>Дисциплина 43</v>
      </c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15"/>
      <c r="P58" s="180" t="str">
        <f>IF(LEN(TRIM('3 Освоение программы'!C44))=0," ",'3 Освоение программы'!C44)</f>
        <v>?? з.е.</v>
      </c>
      <c r="Q58" s="180"/>
      <c r="R58" s="180"/>
      <c r="S58" s="114"/>
      <c r="T58" s="114"/>
      <c r="U58" s="180" t="str">
        <f>IF(LEN(TRIM('3 Освоение программы'!D44))=0," ",'3 Освоение программы'!D44)</f>
        <v>оценка</v>
      </c>
      <c r="V58" s="180"/>
      <c r="W58" s="180"/>
      <c r="X58" s="180"/>
      <c r="Y58" s="90"/>
      <c r="Z58" s="90"/>
      <c r="AA58" s="90"/>
      <c r="AB58" s="90"/>
      <c r="AC58" s="90"/>
      <c r="AD58" s="90"/>
      <c r="AE58" s="193" t="str">
        <f>IF(LEN(TRIM('3 Освоение программы'!B112))=0," ",'3 Освоение программы'!B112)</f>
        <v xml:space="preserve"> </v>
      </c>
      <c r="AF58" s="193"/>
      <c r="AG58" s="193"/>
      <c r="AH58" s="193"/>
      <c r="AI58" s="193"/>
      <c r="AJ58" s="193"/>
      <c r="AK58" s="193"/>
      <c r="AL58" s="193"/>
      <c r="AM58" s="193"/>
      <c r="AN58" s="193"/>
      <c r="AO58" s="193"/>
      <c r="AP58" s="193"/>
      <c r="AQ58" s="93"/>
      <c r="AR58" s="183" t="str">
        <f>IF(LEN(TRIM('3 Освоение программы'!C112))=0," ",'3 Освоение программы'!C112)</f>
        <v xml:space="preserve"> </v>
      </c>
      <c r="AS58" s="183"/>
      <c r="AT58" s="183"/>
      <c r="AU58" s="183"/>
      <c r="AV58" s="93"/>
      <c r="AW58" s="183" t="str">
        <f>IF(LEN(TRIM('3 Освоение программы'!D112))=0," ",'3 Освоение программы'!D112)</f>
        <v xml:space="preserve"> </v>
      </c>
      <c r="AX58" s="183"/>
      <c r="AY58" s="183"/>
      <c r="AZ58" s="183"/>
      <c r="BA58" s="183"/>
      <c r="BB58" s="90"/>
      <c r="BC58" s="104"/>
    </row>
    <row r="59" spans="1:55" ht="9.9499999999999993" customHeight="1" x14ac:dyDescent="0.25">
      <c r="A59" s="91"/>
      <c r="B59" s="90"/>
      <c r="C59" s="179" t="str">
        <f>IF(LEN(TRIM('3 Освоение программы'!B45))=0," ",'3 Освоение программы'!B45)</f>
        <v>Дисциплина 44</v>
      </c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15"/>
      <c r="P59" s="180" t="str">
        <f>IF(LEN(TRIM('3 Освоение программы'!C45))=0," ",'3 Освоение программы'!C45)</f>
        <v>?? з.е.</v>
      </c>
      <c r="Q59" s="180"/>
      <c r="R59" s="180"/>
      <c r="S59" s="114"/>
      <c r="T59" s="114"/>
      <c r="U59" s="180" t="str">
        <f>IF(LEN(TRIM('3 Освоение программы'!D45))=0," ",'3 Освоение программы'!D45)</f>
        <v>оценка</v>
      </c>
      <c r="V59" s="180"/>
      <c r="W59" s="180"/>
      <c r="X59" s="180"/>
      <c r="Y59" s="90"/>
      <c r="Z59" s="90"/>
      <c r="AA59" s="90"/>
      <c r="AB59" s="90"/>
      <c r="AC59" s="90"/>
      <c r="AD59" s="90"/>
      <c r="AE59" s="193" t="str">
        <f>IF(LEN(TRIM('3 Освоение программы'!B113))=0," ",'3 Освоение программы'!B113)</f>
        <v xml:space="preserve"> </v>
      </c>
      <c r="AF59" s="193"/>
      <c r="AG59" s="193"/>
      <c r="AH59" s="193"/>
      <c r="AI59" s="193"/>
      <c r="AJ59" s="193"/>
      <c r="AK59" s="193"/>
      <c r="AL59" s="193"/>
      <c r="AM59" s="193"/>
      <c r="AN59" s="193"/>
      <c r="AO59" s="193"/>
      <c r="AP59" s="193"/>
      <c r="AQ59" s="93"/>
      <c r="AR59" s="183" t="str">
        <f>IF(LEN(TRIM('3 Освоение программы'!C113))=0," ",'3 Освоение программы'!C113)</f>
        <v xml:space="preserve"> </v>
      </c>
      <c r="AS59" s="183"/>
      <c r="AT59" s="183"/>
      <c r="AU59" s="183"/>
      <c r="AV59" s="93"/>
      <c r="AW59" s="183" t="str">
        <f>IF(LEN(TRIM('3 Освоение программы'!D113))=0," ",'3 Освоение программы'!D113)</f>
        <v xml:space="preserve"> </v>
      </c>
      <c r="AX59" s="183"/>
      <c r="AY59" s="183"/>
      <c r="AZ59" s="183"/>
      <c r="BA59" s="183"/>
      <c r="BB59" s="90"/>
      <c r="BC59" s="104"/>
    </row>
    <row r="60" spans="1:55" ht="9.9499999999999993" customHeight="1" x14ac:dyDescent="0.25">
      <c r="A60" s="91"/>
      <c r="B60" s="90"/>
      <c r="C60" s="179" t="str">
        <f>IF(LEN(TRIM('3 Освоение программы'!B46))=0," ",'3 Освоение программы'!B46)</f>
        <v>Дисциплина 45</v>
      </c>
      <c r="D60" s="179"/>
      <c r="E60" s="179"/>
      <c r="F60" s="179"/>
      <c r="G60" s="179"/>
      <c r="H60" s="179"/>
      <c r="I60" s="179"/>
      <c r="J60" s="179"/>
      <c r="K60" s="179"/>
      <c r="L60" s="179"/>
      <c r="M60" s="179"/>
      <c r="N60" s="179"/>
      <c r="O60" s="115"/>
      <c r="P60" s="180" t="str">
        <f>IF(LEN(TRIM('3 Освоение программы'!C46))=0," ",'3 Освоение программы'!C46)</f>
        <v>?? з.е.</v>
      </c>
      <c r="Q60" s="180"/>
      <c r="R60" s="180"/>
      <c r="S60" s="114"/>
      <c r="T60" s="114"/>
      <c r="U60" s="180" t="str">
        <f>IF(LEN(TRIM('3 Освоение программы'!D46))=0," ",'3 Освоение программы'!D46)</f>
        <v>оценка</v>
      </c>
      <c r="V60" s="180"/>
      <c r="W60" s="180"/>
      <c r="X60" s="180"/>
      <c r="Y60" s="90"/>
      <c r="Z60" s="90"/>
      <c r="AA60" s="90"/>
      <c r="AB60" s="90"/>
      <c r="AC60" s="90"/>
      <c r="AD60" s="90"/>
      <c r="AE60" s="193" t="str">
        <f>IF(LEN(TRIM('3 Освоение программы'!B114))=0," ",'3 Освоение программы'!B114)</f>
        <v xml:space="preserve"> </v>
      </c>
      <c r="AF60" s="193"/>
      <c r="AG60" s="193"/>
      <c r="AH60" s="193"/>
      <c r="AI60" s="193"/>
      <c r="AJ60" s="193"/>
      <c r="AK60" s="193"/>
      <c r="AL60" s="193"/>
      <c r="AM60" s="193"/>
      <c r="AN60" s="193"/>
      <c r="AO60" s="193"/>
      <c r="AP60" s="193"/>
      <c r="AQ60" s="93"/>
      <c r="AR60" s="183" t="str">
        <f>IF(LEN(TRIM('3 Освоение программы'!C114))=0," ",'3 Освоение программы'!C114)</f>
        <v xml:space="preserve"> </v>
      </c>
      <c r="AS60" s="183"/>
      <c r="AT60" s="183"/>
      <c r="AU60" s="183"/>
      <c r="AV60" s="93"/>
      <c r="AW60" s="183" t="str">
        <f>IF(LEN(TRIM('3 Освоение программы'!D114))=0," ",'3 Освоение программы'!D114)</f>
        <v xml:space="preserve"> </v>
      </c>
      <c r="AX60" s="183"/>
      <c r="AY60" s="183"/>
      <c r="AZ60" s="183"/>
      <c r="BA60" s="183"/>
      <c r="BB60" s="90"/>
      <c r="BC60" s="104"/>
    </row>
    <row r="61" spans="1:55" ht="9.9499999999999993" customHeight="1" x14ac:dyDescent="0.25">
      <c r="A61" s="91"/>
      <c r="B61" s="90"/>
      <c r="C61" s="179" t="str">
        <f>IF(LEN(TRIM('3 Освоение программы'!B47))=0," ",'3 Освоение программы'!B47)</f>
        <v>Дисциплина 46</v>
      </c>
      <c r="D61" s="179"/>
      <c r="E61" s="179"/>
      <c r="F61" s="179"/>
      <c r="G61" s="179"/>
      <c r="H61" s="179"/>
      <c r="I61" s="179"/>
      <c r="J61" s="179"/>
      <c r="K61" s="179"/>
      <c r="L61" s="179"/>
      <c r="M61" s="179"/>
      <c r="N61" s="179"/>
      <c r="O61" s="115"/>
      <c r="P61" s="180" t="str">
        <f>IF(LEN(TRIM('3 Освоение программы'!C47))=0," ",'3 Освоение программы'!C47)</f>
        <v>?? з.е.</v>
      </c>
      <c r="Q61" s="180"/>
      <c r="R61" s="180"/>
      <c r="S61" s="114"/>
      <c r="T61" s="114"/>
      <c r="U61" s="180" t="str">
        <f>IF(LEN(TRIM('3 Освоение программы'!D47))=0," ",'3 Освоение программы'!D47)</f>
        <v>оценка</v>
      </c>
      <c r="V61" s="180"/>
      <c r="W61" s="180"/>
      <c r="X61" s="180"/>
      <c r="Y61" s="90"/>
      <c r="Z61" s="90"/>
      <c r="AA61" s="90"/>
      <c r="AB61" s="90"/>
      <c r="AC61" s="90"/>
      <c r="AD61" s="90"/>
      <c r="AE61" s="193" t="str">
        <f>IF(LEN(TRIM('3 Освоение программы'!B115))=0," ",'3 Освоение программы'!B115)</f>
        <v xml:space="preserve"> </v>
      </c>
      <c r="AF61" s="193"/>
      <c r="AG61" s="193"/>
      <c r="AH61" s="193"/>
      <c r="AI61" s="193"/>
      <c r="AJ61" s="193"/>
      <c r="AK61" s="193"/>
      <c r="AL61" s="193"/>
      <c r="AM61" s="193"/>
      <c r="AN61" s="193"/>
      <c r="AO61" s="193"/>
      <c r="AP61" s="193"/>
      <c r="AQ61" s="93"/>
      <c r="AR61" s="183" t="str">
        <f>IF(LEN(TRIM('3 Освоение программы'!C115))=0," ",'3 Освоение программы'!C115)</f>
        <v xml:space="preserve"> </v>
      </c>
      <c r="AS61" s="183"/>
      <c r="AT61" s="183"/>
      <c r="AU61" s="183"/>
      <c r="AV61" s="93"/>
      <c r="AW61" s="183" t="str">
        <f>IF(LEN(TRIM('3 Освоение программы'!D115))=0," ",'3 Освоение программы'!D115)</f>
        <v xml:space="preserve"> </v>
      </c>
      <c r="AX61" s="183"/>
      <c r="AY61" s="183"/>
      <c r="AZ61" s="183"/>
      <c r="BA61" s="183"/>
      <c r="BB61" s="90"/>
      <c r="BC61" s="104"/>
    </row>
    <row r="62" spans="1:55" ht="9.9499999999999993" customHeight="1" x14ac:dyDescent="0.25">
      <c r="A62" s="91"/>
      <c r="B62" s="90"/>
      <c r="C62" s="179" t="str">
        <f>IF(LEN(TRIM('3 Освоение программы'!B48))=0," ",'3 Освоение программы'!B48)</f>
        <v>Дисциплина 47</v>
      </c>
      <c r="D62" s="179"/>
      <c r="E62" s="179"/>
      <c r="F62" s="179"/>
      <c r="G62" s="179"/>
      <c r="H62" s="179"/>
      <c r="I62" s="179"/>
      <c r="J62" s="179"/>
      <c r="K62" s="179"/>
      <c r="L62" s="179"/>
      <c r="M62" s="179"/>
      <c r="N62" s="179"/>
      <c r="O62" s="115"/>
      <c r="P62" s="180" t="str">
        <f>IF(LEN(TRIM('3 Освоение программы'!C48))=0," ",'3 Освоение программы'!C48)</f>
        <v>?? з.е.</v>
      </c>
      <c r="Q62" s="180"/>
      <c r="R62" s="180"/>
      <c r="S62" s="114"/>
      <c r="T62" s="114"/>
      <c r="U62" s="180" t="str">
        <f>IF(LEN(TRIM('3 Освоение программы'!D48))=0," ",'3 Освоение программы'!D48)</f>
        <v>оценка</v>
      </c>
      <c r="V62" s="180"/>
      <c r="W62" s="180"/>
      <c r="X62" s="180"/>
      <c r="Y62" s="90"/>
      <c r="Z62" s="90"/>
      <c r="AA62" s="90"/>
      <c r="AB62" s="90"/>
      <c r="AC62" s="90"/>
      <c r="AD62" s="90"/>
      <c r="AE62" s="193" t="str">
        <f>IF(LEN(TRIM('3 Освоение программы'!B116))=0," ",'3 Освоение программы'!B116)</f>
        <v xml:space="preserve"> </v>
      </c>
      <c r="AF62" s="193"/>
      <c r="AG62" s="193"/>
      <c r="AH62" s="193"/>
      <c r="AI62" s="193"/>
      <c r="AJ62" s="193"/>
      <c r="AK62" s="193"/>
      <c r="AL62" s="193"/>
      <c r="AM62" s="193"/>
      <c r="AN62" s="193"/>
      <c r="AO62" s="193"/>
      <c r="AP62" s="193"/>
      <c r="AQ62" s="93"/>
      <c r="AR62" s="183" t="str">
        <f>IF(LEN(TRIM('3 Освоение программы'!C116))=0," ",'3 Освоение программы'!C116)</f>
        <v xml:space="preserve"> </v>
      </c>
      <c r="AS62" s="183"/>
      <c r="AT62" s="183"/>
      <c r="AU62" s="183"/>
      <c r="AV62" s="93"/>
      <c r="AW62" s="183" t="str">
        <f>IF(LEN(TRIM('3 Освоение программы'!D116))=0," ",'3 Освоение программы'!D116)</f>
        <v xml:space="preserve"> </v>
      </c>
      <c r="AX62" s="183"/>
      <c r="AY62" s="183"/>
      <c r="AZ62" s="183"/>
      <c r="BA62" s="183"/>
      <c r="BB62" s="90"/>
      <c r="BC62" s="104"/>
    </row>
    <row r="63" spans="1:55" ht="9.9499999999999993" customHeight="1" x14ac:dyDescent="0.25">
      <c r="A63" s="91"/>
      <c r="B63" s="90"/>
      <c r="C63" s="179" t="str">
        <f>IF(LEN(TRIM('3 Освоение программы'!B49))=0," ",'3 Освоение программы'!B49)</f>
        <v>Дисциплина 48</v>
      </c>
      <c r="D63" s="179"/>
      <c r="E63" s="179"/>
      <c r="F63" s="179"/>
      <c r="G63" s="179"/>
      <c r="H63" s="179"/>
      <c r="I63" s="179"/>
      <c r="J63" s="179"/>
      <c r="K63" s="179"/>
      <c r="L63" s="179"/>
      <c r="M63" s="179"/>
      <c r="N63" s="179"/>
      <c r="O63" s="115"/>
      <c r="P63" s="180" t="str">
        <f>IF(LEN(TRIM('3 Освоение программы'!C49))=0," ",'3 Освоение программы'!C49)</f>
        <v>?? з.е.</v>
      </c>
      <c r="Q63" s="180"/>
      <c r="R63" s="180"/>
      <c r="S63" s="114"/>
      <c r="T63" s="114"/>
      <c r="U63" s="180" t="str">
        <f>IF(LEN(TRIM('3 Освоение программы'!D49))=0," ",'3 Освоение программы'!D49)</f>
        <v>оценка</v>
      </c>
      <c r="V63" s="180"/>
      <c r="W63" s="180"/>
      <c r="X63" s="180"/>
      <c r="Y63" s="90"/>
      <c r="Z63" s="90"/>
      <c r="AA63" s="90"/>
      <c r="AB63" s="90"/>
      <c r="AC63" s="90"/>
      <c r="AD63" s="90"/>
      <c r="AE63" s="193" t="str">
        <f>IF(LEN(TRIM('3 Освоение программы'!B117))=0," ",'3 Освоение программы'!B117)</f>
        <v xml:space="preserve"> </v>
      </c>
      <c r="AF63" s="193"/>
      <c r="AG63" s="193"/>
      <c r="AH63" s="193"/>
      <c r="AI63" s="193"/>
      <c r="AJ63" s="193"/>
      <c r="AK63" s="193"/>
      <c r="AL63" s="193"/>
      <c r="AM63" s="193"/>
      <c r="AN63" s="193"/>
      <c r="AO63" s="193"/>
      <c r="AP63" s="193"/>
      <c r="AQ63" s="93"/>
      <c r="AR63" s="183" t="str">
        <f>IF(LEN(TRIM('3 Освоение программы'!C117))=0," ",'3 Освоение программы'!C117)</f>
        <v xml:space="preserve"> </v>
      </c>
      <c r="AS63" s="183"/>
      <c r="AT63" s="183"/>
      <c r="AU63" s="183"/>
      <c r="AV63" s="93"/>
      <c r="AW63" s="183" t="str">
        <f>IF(LEN(TRIM('3 Освоение программы'!D117))=0," ",'3 Освоение программы'!D117)</f>
        <v xml:space="preserve"> </v>
      </c>
      <c r="AX63" s="183"/>
      <c r="AY63" s="183"/>
      <c r="AZ63" s="183"/>
      <c r="BA63" s="183"/>
      <c r="BB63" s="90"/>
      <c r="BC63" s="104"/>
    </row>
    <row r="64" spans="1:55" ht="9.9499999999999993" customHeight="1" x14ac:dyDescent="0.25">
      <c r="A64" s="91"/>
      <c r="B64" s="90"/>
      <c r="C64" s="179" t="str">
        <f>IF(LEN(TRIM('3 Освоение программы'!B50))=0," ",'3 Освоение программы'!B50)</f>
        <v>Дисциплина 49</v>
      </c>
      <c r="D64" s="179"/>
      <c r="E64" s="179"/>
      <c r="F64" s="179"/>
      <c r="G64" s="179"/>
      <c r="H64" s="179"/>
      <c r="I64" s="179"/>
      <c r="J64" s="179"/>
      <c r="K64" s="179"/>
      <c r="L64" s="179"/>
      <c r="M64" s="179"/>
      <c r="N64" s="179"/>
      <c r="O64" s="115"/>
      <c r="P64" s="180" t="str">
        <f>IF(LEN(TRIM('3 Освоение программы'!C50))=0," ",'3 Освоение программы'!C50)</f>
        <v>?? з.е.</v>
      </c>
      <c r="Q64" s="180"/>
      <c r="R64" s="180"/>
      <c r="S64" s="114"/>
      <c r="T64" s="114"/>
      <c r="U64" s="180" t="str">
        <f>IF(LEN(TRIM('3 Освоение программы'!D50))=0," ",'3 Освоение программы'!D50)</f>
        <v>оценка</v>
      </c>
      <c r="V64" s="180"/>
      <c r="W64" s="180"/>
      <c r="X64" s="180"/>
      <c r="Y64" s="90"/>
      <c r="Z64" s="90"/>
      <c r="AA64" s="90"/>
      <c r="AB64" s="90"/>
      <c r="AC64" s="90"/>
      <c r="AD64" s="90"/>
      <c r="AE64" s="193" t="str">
        <f>IF(LEN(TRIM('3 Освоение программы'!B118))=0," ",'3 Освоение программы'!B118)</f>
        <v xml:space="preserve"> </v>
      </c>
      <c r="AF64" s="193"/>
      <c r="AG64" s="193"/>
      <c r="AH64" s="193"/>
      <c r="AI64" s="193"/>
      <c r="AJ64" s="193"/>
      <c r="AK64" s="193"/>
      <c r="AL64" s="193"/>
      <c r="AM64" s="193"/>
      <c r="AN64" s="193"/>
      <c r="AO64" s="193"/>
      <c r="AP64" s="193"/>
      <c r="AQ64" s="93"/>
      <c r="AR64" s="183" t="str">
        <f>IF(LEN(TRIM('3 Освоение программы'!C118))=0," ",'3 Освоение программы'!C118)</f>
        <v xml:space="preserve"> </v>
      </c>
      <c r="AS64" s="183"/>
      <c r="AT64" s="183"/>
      <c r="AU64" s="183"/>
      <c r="AV64" s="93"/>
      <c r="AW64" s="183" t="str">
        <f>IF(LEN(TRIM('3 Освоение программы'!D118))=0," ",'3 Освоение программы'!D118)</f>
        <v xml:space="preserve"> </v>
      </c>
      <c r="AX64" s="183"/>
      <c r="AY64" s="183"/>
      <c r="AZ64" s="183"/>
      <c r="BA64" s="183"/>
      <c r="BB64" s="90"/>
      <c r="BC64" s="104"/>
    </row>
    <row r="65" spans="1:55" ht="9.9499999999999993" customHeight="1" x14ac:dyDescent="0.25">
      <c r="A65" s="91"/>
      <c r="B65" s="90"/>
      <c r="C65" s="179" t="str">
        <f>IF(LEN(TRIM('3 Освоение программы'!B51))=0," ",'3 Освоение программы'!B51)</f>
        <v>Дисциплина 50</v>
      </c>
      <c r="D65" s="179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15"/>
      <c r="P65" s="180" t="str">
        <f>IF(LEN(TRIM('3 Освоение программы'!C51))=0," ",'3 Освоение программы'!C51)</f>
        <v>?? з.е.</v>
      </c>
      <c r="Q65" s="180"/>
      <c r="R65" s="180"/>
      <c r="S65" s="114"/>
      <c r="T65" s="114"/>
      <c r="U65" s="180" t="str">
        <f>IF(LEN(TRIM('3 Освоение программы'!D51))=0," ",'3 Освоение программы'!D51)</f>
        <v>оценка</v>
      </c>
      <c r="V65" s="180"/>
      <c r="W65" s="180"/>
      <c r="X65" s="180"/>
      <c r="Y65" s="90"/>
      <c r="Z65" s="90"/>
      <c r="AA65" s="90"/>
      <c r="AB65" s="90"/>
      <c r="AC65" s="90"/>
      <c r="AD65" s="90"/>
      <c r="AE65" s="193" t="str">
        <f>IF(LEN(TRIM('3 Освоение программы'!B119))=0," ",'3 Освоение программы'!B119)</f>
        <v xml:space="preserve"> </v>
      </c>
      <c r="AF65" s="193"/>
      <c r="AG65" s="193"/>
      <c r="AH65" s="193"/>
      <c r="AI65" s="193"/>
      <c r="AJ65" s="193"/>
      <c r="AK65" s="193"/>
      <c r="AL65" s="193"/>
      <c r="AM65" s="193"/>
      <c r="AN65" s="193"/>
      <c r="AO65" s="193"/>
      <c r="AP65" s="193"/>
      <c r="AQ65" s="93"/>
      <c r="AR65" s="183" t="str">
        <f>IF(LEN(TRIM('3 Освоение программы'!C119))=0," ",'3 Освоение программы'!C119)</f>
        <v xml:space="preserve"> </v>
      </c>
      <c r="AS65" s="183"/>
      <c r="AT65" s="183"/>
      <c r="AU65" s="183"/>
      <c r="AV65" s="93"/>
      <c r="AW65" s="183" t="str">
        <f>IF(LEN(TRIM('3 Освоение программы'!D119))=0," ",'3 Освоение программы'!D119)</f>
        <v xml:space="preserve"> </v>
      </c>
      <c r="AX65" s="183"/>
      <c r="AY65" s="183"/>
      <c r="AZ65" s="183"/>
      <c r="BA65" s="183"/>
      <c r="BB65" s="90"/>
      <c r="BC65" s="104"/>
    </row>
    <row r="66" spans="1:55" ht="9.9499999999999993" customHeight="1" x14ac:dyDescent="0.25">
      <c r="A66" s="91"/>
      <c r="B66" s="90"/>
      <c r="C66" s="179" t="str">
        <f>IF(LEN(TRIM('3 Освоение программы'!B52))=0," ",'3 Освоение программы'!B52)</f>
        <v>Дисциплина 51</v>
      </c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15"/>
      <c r="P66" s="180" t="str">
        <f>IF(LEN(TRIM('3 Освоение программы'!C52))=0," ",'3 Освоение программы'!C52)</f>
        <v>?? з.е.</v>
      </c>
      <c r="Q66" s="180"/>
      <c r="R66" s="180"/>
      <c r="S66" s="114"/>
      <c r="T66" s="114"/>
      <c r="U66" s="180" t="str">
        <f>IF(LEN(TRIM('3 Освоение программы'!D52))=0," ",'3 Освоение программы'!D52)</f>
        <v>оценка</v>
      </c>
      <c r="V66" s="180"/>
      <c r="W66" s="180"/>
      <c r="X66" s="180"/>
      <c r="Y66" s="90"/>
      <c r="Z66" s="90"/>
      <c r="AA66" s="90"/>
      <c r="AB66" s="90"/>
      <c r="AC66" s="90"/>
      <c r="AD66" s="90"/>
      <c r="AE66" s="193" t="str">
        <f>IF(LEN(TRIM('3 Освоение программы'!B120))=0," ",'3 Освоение программы'!B120)</f>
        <v xml:space="preserve"> </v>
      </c>
      <c r="AF66" s="193"/>
      <c r="AG66" s="193"/>
      <c r="AH66" s="193"/>
      <c r="AI66" s="193"/>
      <c r="AJ66" s="193"/>
      <c r="AK66" s="193"/>
      <c r="AL66" s="193"/>
      <c r="AM66" s="193"/>
      <c r="AN66" s="193"/>
      <c r="AO66" s="193"/>
      <c r="AP66" s="193"/>
      <c r="AQ66" s="93"/>
      <c r="AR66" s="183" t="str">
        <f>IF(LEN(TRIM('3 Освоение программы'!C120))=0," ",'3 Освоение программы'!C120)</f>
        <v xml:space="preserve"> </v>
      </c>
      <c r="AS66" s="183"/>
      <c r="AT66" s="183"/>
      <c r="AU66" s="183"/>
      <c r="AV66" s="93"/>
      <c r="AW66" s="183" t="str">
        <f>IF(LEN(TRIM('3 Освоение программы'!D120))=0," ",'3 Освоение программы'!D120)</f>
        <v xml:space="preserve"> </v>
      </c>
      <c r="AX66" s="183"/>
      <c r="AY66" s="183"/>
      <c r="AZ66" s="183"/>
      <c r="BA66" s="183"/>
      <c r="BB66" s="90"/>
      <c r="BC66" s="104"/>
    </row>
    <row r="67" spans="1:55" ht="9.9499999999999993" customHeight="1" x14ac:dyDescent="0.25">
      <c r="A67" s="91"/>
      <c r="B67" s="90"/>
      <c r="C67" s="179" t="str">
        <f>IF(LEN(TRIM('3 Освоение программы'!B53))=0," ",'3 Освоение программы'!B53)</f>
        <v>Дисциплина 52</v>
      </c>
      <c r="D67" s="179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15"/>
      <c r="P67" s="180" t="str">
        <f>IF(LEN(TRIM('3 Освоение программы'!C53))=0," ",'3 Освоение программы'!C53)</f>
        <v>?? з.е.</v>
      </c>
      <c r="Q67" s="180"/>
      <c r="R67" s="180"/>
      <c r="S67" s="114"/>
      <c r="T67" s="114"/>
      <c r="U67" s="180" t="str">
        <f>IF(LEN(TRIM('3 Освоение программы'!D53))=0," ",'3 Освоение программы'!D53)</f>
        <v>оценка</v>
      </c>
      <c r="V67" s="180"/>
      <c r="W67" s="180"/>
      <c r="X67" s="180"/>
      <c r="Y67" s="90"/>
      <c r="Z67" s="90"/>
      <c r="AA67" s="90"/>
      <c r="AB67" s="90"/>
      <c r="AC67" s="90"/>
      <c r="AD67" s="90"/>
      <c r="AE67" s="193" t="str">
        <f>IF(LEN(TRIM('3 Освоение программы'!B121))=0," ",'3 Освоение программы'!B121)</f>
        <v xml:space="preserve"> </v>
      </c>
      <c r="AF67" s="193"/>
      <c r="AG67" s="193"/>
      <c r="AH67" s="193"/>
      <c r="AI67" s="193"/>
      <c r="AJ67" s="193"/>
      <c r="AK67" s="193"/>
      <c r="AL67" s="193"/>
      <c r="AM67" s="193"/>
      <c r="AN67" s="193"/>
      <c r="AO67" s="193"/>
      <c r="AP67" s="193"/>
      <c r="AQ67" s="93"/>
      <c r="AR67" s="183" t="str">
        <f>IF(LEN(TRIM('3 Освоение программы'!C121))=0," ",'3 Освоение программы'!C121)</f>
        <v xml:space="preserve"> </v>
      </c>
      <c r="AS67" s="183"/>
      <c r="AT67" s="183"/>
      <c r="AU67" s="183"/>
      <c r="AV67" s="93"/>
      <c r="AW67" s="183" t="str">
        <f>IF(LEN(TRIM('3 Освоение программы'!D121))=0," ",'3 Освоение программы'!D121)</f>
        <v xml:space="preserve"> </v>
      </c>
      <c r="AX67" s="183"/>
      <c r="AY67" s="183"/>
      <c r="AZ67" s="183"/>
      <c r="BA67" s="183"/>
      <c r="BB67" s="90"/>
      <c r="BC67" s="104"/>
    </row>
    <row r="68" spans="1:55" ht="9.9499999999999993" customHeight="1" x14ac:dyDescent="0.25">
      <c r="A68" s="91"/>
      <c r="B68" s="90"/>
      <c r="C68" s="179" t="str">
        <f>IF(LEN(TRIM('3 Освоение программы'!B54))=0," ",'3 Освоение программы'!B54)</f>
        <v>Дисциплина 53</v>
      </c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15"/>
      <c r="P68" s="180" t="str">
        <f>IF(LEN(TRIM('3 Освоение программы'!C54))=0," ",'3 Освоение программы'!C54)</f>
        <v>?? з.е.</v>
      </c>
      <c r="Q68" s="180"/>
      <c r="R68" s="180"/>
      <c r="S68" s="114"/>
      <c r="T68" s="114"/>
      <c r="U68" s="180" t="str">
        <f>IF(LEN(TRIM('3 Освоение программы'!D54))=0," ",'3 Освоение программы'!D54)</f>
        <v>оценка</v>
      </c>
      <c r="V68" s="180"/>
      <c r="W68" s="180"/>
      <c r="X68" s="180"/>
      <c r="Y68" s="90"/>
      <c r="Z68" s="90"/>
      <c r="AA68" s="90"/>
      <c r="AB68" s="90"/>
      <c r="AC68" s="90"/>
      <c r="AD68" s="90"/>
      <c r="AE68" s="193" t="str">
        <f>IF(LEN(TRIM('3 Освоение программы'!B122))=0," ",'3 Освоение программы'!B122)</f>
        <v xml:space="preserve"> </v>
      </c>
      <c r="AF68" s="193"/>
      <c r="AG68" s="193"/>
      <c r="AH68" s="193"/>
      <c r="AI68" s="193"/>
      <c r="AJ68" s="193"/>
      <c r="AK68" s="193"/>
      <c r="AL68" s="193"/>
      <c r="AM68" s="193"/>
      <c r="AN68" s="193"/>
      <c r="AO68" s="193"/>
      <c r="AP68" s="193"/>
      <c r="AQ68" s="93"/>
      <c r="AR68" s="183" t="str">
        <f>IF(LEN(TRIM('3 Освоение программы'!C122))=0," ",'3 Освоение программы'!C122)</f>
        <v xml:space="preserve"> </v>
      </c>
      <c r="AS68" s="183"/>
      <c r="AT68" s="183"/>
      <c r="AU68" s="183"/>
      <c r="AV68" s="93"/>
      <c r="AW68" s="183" t="str">
        <f>IF(LEN(TRIM('3 Освоение программы'!D122))=0," ",'3 Освоение программы'!D122)</f>
        <v xml:space="preserve"> </v>
      </c>
      <c r="AX68" s="183"/>
      <c r="AY68" s="183"/>
      <c r="AZ68" s="183"/>
      <c r="BA68" s="183"/>
      <c r="BB68" s="90"/>
      <c r="BC68" s="104"/>
    </row>
    <row r="69" spans="1:55" ht="9.9499999999999993" customHeight="1" x14ac:dyDescent="0.25">
      <c r="A69" s="91"/>
      <c r="B69" s="90"/>
      <c r="C69" s="179" t="str">
        <f>IF(LEN(TRIM('3 Освоение программы'!B55))=0," ",'3 Освоение программы'!B55)</f>
        <v>Дисциплина 54</v>
      </c>
      <c r="D69" s="179"/>
      <c r="E69" s="179"/>
      <c r="F69" s="179"/>
      <c r="G69" s="179"/>
      <c r="H69" s="179"/>
      <c r="I69" s="179"/>
      <c r="J69" s="179"/>
      <c r="K69" s="179"/>
      <c r="L69" s="179"/>
      <c r="M69" s="179"/>
      <c r="N69" s="179"/>
      <c r="O69" s="115"/>
      <c r="P69" s="180" t="str">
        <f>IF(LEN(TRIM('3 Освоение программы'!C55))=0," ",'3 Освоение программы'!C55)</f>
        <v>?? з.е.</v>
      </c>
      <c r="Q69" s="180"/>
      <c r="R69" s="180"/>
      <c r="S69" s="114"/>
      <c r="T69" s="114"/>
      <c r="U69" s="180" t="str">
        <f>IF(LEN(TRIM('3 Освоение программы'!D55))=0," ",'3 Освоение программы'!D55)</f>
        <v>оценка</v>
      </c>
      <c r="V69" s="180"/>
      <c r="W69" s="180"/>
      <c r="X69" s="180"/>
      <c r="Y69" s="90"/>
      <c r="Z69" s="90"/>
      <c r="AA69" s="90"/>
      <c r="AB69" s="90"/>
      <c r="AC69" s="90"/>
      <c r="AD69" s="90"/>
      <c r="AE69" s="193" t="str">
        <f>IF(LEN(TRIM('3 Освоение программы'!B123))=0," ",'3 Освоение программы'!B123)</f>
        <v xml:space="preserve"> </v>
      </c>
      <c r="AF69" s="193"/>
      <c r="AG69" s="193"/>
      <c r="AH69" s="193"/>
      <c r="AI69" s="193"/>
      <c r="AJ69" s="193"/>
      <c r="AK69" s="193"/>
      <c r="AL69" s="193"/>
      <c r="AM69" s="193"/>
      <c r="AN69" s="193"/>
      <c r="AO69" s="193"/>
      <c r="AP69" s="193"/>
      <c r="AQ69" s="93"/>
      <c r="AR69" s="183" t="str">
        <f>IF(LEN(TRIM('3 Освоение программы'!C123))=0," ",'3 Освоение программы'!C123)</f>
        <v xml:space="preserve"> </v>
      </c>
      <c r="AS69" s="183"/>
      <c r="AT69" s="183"/>
      <c r="AU69" s="183"/>
      <c r="AV69" s="93"/>
      <c r="AW69" s="183" t="str">
        <f>IF(LEN(TRIM('3 Освоение программы'!D123))=0," ",'3 Освоение программы'!D123)</f>
        <v xml:space="preserve"> </v>
      </c>
      <c r="AX69" s="183"/>
      <c r="AY69" s="183"/>
      <c r="AZ69" s="183"/>
      <c r="BA69" s="183"/>
      <c r="BB69" s="90"/>
      <c r="BC69" s="104"/>
    </row>
    <row r="70" spans="1:55" ht="9.9499999999999993" customHeight="1" x14ac:dyDescent="0.25">
      <c r="A70" s="91"/>
      <c r="B70" s="90"/>
      <c r="C70" s="179" t="str">
        <f>IF(LEN(TRIM('3 Освоение программы'!B56))=0," ",'3 Освоение программы'!B56)</f>
        <v>Дисциплина 55</v>
      </c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15"/>
      <c r="P70" s="180" t="str">
        <f>IF(LEN(TRIM('3 Освоение программы'!C56))=0," ",'3 Освоение программы'!C56)</f>
        <v>?? з.е.</v>
      </c>
      <c r="Q70" s="180"/>
      <c r="R70" s="180"/>
      <c r="S70" s="114"/>
      <c r="T70" s="114"/>
      <c r="U70" s="180" t="str">
        <f>IF(LEN(TRIM('3 Освоение программы'!D56))=0," ",'3 Освоение программы'!D56)</f>
        <v>оценка</v>
      </c>
      <c r="V70" s="180"/>
      <c r="W70" s="180"/>
      <c r="X70" s="180"/>
      <c r="Y70" s="90"/>
      <c r="Z70" s="90"/>
      <c r="AA70" s="90"/>
      <c r="AB70" s="90"/>
      <c r="AC70" s="90"/>
      <c r="AD70" s="90"/>
      <c r="AE70" s="193" t="str">
        <f>IF(LEN(TRIM('3 Освоение программы'!B124))=0," ",'3 Освоение программы'!B124)</f>
        <v xml:space="preserve"> </v>
      </c>
      <c r="AF70" s="193"/>
      <c r="AG70" s="193"/>
      <c r="AH70" s="193"/>
      <c r="AI70" s="193"/>
      <c r="AJ70" s="193"/>
      <c r="AK70" s="193"/>
      <c r="AL70" s="193"/>
      <c r="AM70" s="193"/>
      <c r="AN70" s="193"/>
      <c r="AO70" s="193"/>
      <c r="AP70" s="193"/>
      <c r="AQ70" s="93"/>
      <c r="AR70" s="183" t="str">
        <f>IF(LEN(TRIM('3 Освоение программы'!C124))=0," ",'3 Освоение программы'!C124)</f>
        <v xml:space="preserve"> </v>
      </c>
      <c r="AS70" s="183"/>
      <c r="AT70" s="183"/>
      <c r="AU70" s="183"/>
      <c r="AV70" s="93"/>
      <c r="AW70" s="183" t="str">
        <f>IF(LEN(TRIM('3 Освоение программы'!D124))=0," ",'3 Освоение программы'!D124)</f>
        <v xml:space="preserve"> </v>
      </c>
      <c r="AX70" s="183"/>
      <c r="AY70" s="183"/>
      <c r="AZ70" s="183"/>
      <c r="BA70" s="183"/>
      <c r="BB70" s="90"/>
      <c r="BC70" s="104"/>
    </row>
    <row r="71" spans="1:55" ht="9.9499999999999993" customHeight="1" x14ac:dyDescent="0.25">
      <c r="A71" s="91"/>
      <c r="B71" s="90"/>
      <c r="C71" s="179" t="str">
        <f>IF(LEN(TRIM('3 Освоение программы'!B57))=0," ",'3 Освоение программы'!B57)</f>
        <v>Дисциплина 56</v>
      </c>
      <c r="D71" s="179"/>
      <c r="E71" s="179"/>
      <c r="F71" s="179"/>
      <c r="G71" s="179"/>
      <c r="H71" s="179"/>
      <c r="I71" s="179"/>
      <c r="J71" s="179"/>
      <c r="K71" s="179"/>
      <c r="L71" s="179"/>
      <c r="M71" s="179"/>
      <c r="N71" s="179"/>
      <c r="O71" s="115"/>
      <c r="P71" s="180" t="str">
        <f>IF(LEN(TRIM('3 Освоение программы'!C57))=0," ",'3 Освоение программы'!C57)</f>
        <v>?? з.е.</v>
      </c>
      <c r="Q71" s="180"/>
      <c r="R71" s="180"/>
      <c r="S71" s="114"/>
      <c r="T71" s="114"/>
      <c r="U71" s="180" t="str">
        <f>IF(LEN(TRIM('3 Освоение программы'!D57))=0," ",'3 Освоение программы'!D57)</f>
        <v>оценка</v>
      </c>
      <c r="V71" s="180"/>
      <c r="W71" s="180"/>
      <c r="X71" s="180"/>
      <c r="Y71" s="90"/>
      <c r="Z71" s="90"/>
      <c r="AA71" s="90"/>
      <c r="AB71" s="90"/>
      <c r="AC71" s="90"/>
      <c r="AD71" s="90"/>
      <c r="AE71" s="193" t="str">
        <f>IF(LEN(TRIM('3 Освоение программы'!B125))=0," ",'3 Освоение программы'!B125)</f>
        <v xml:space="preserve"> </v>
      </c>
      <c r="AF71" s="193"/>
      <c r="AG71" s="193"/>
      <c r="AH71" s="193"/>
      <c r="AI71" s="193"/>
      <c r="AJ71" s="193"/>
      <c r="AK71" s="193"/>
      <c r="AL71" s="193"/>
      <c r="AM71" s="193"/>
      <c r="AN71" s="193"/>
      <c r="AO71" s="193"/>
      <c r="AP71" s="193"/>
      <c r="AQ71" s="93"/>
      <c r="AR71" s="183" t="str">
        <f>IF(LEN(TRIM('3 Освоение программы'!C125))=0," ",'3 Освоение программы'!C125)</f>
        <v xml:space="preserve"> </v>
      </c>
      <c r="AS71" s="183"/>
      <c r="AT71" s="183"/>
      <c r="AU71" s="183"/>
      <c r="AV71" s="93"/>
      <c r="AW71" s="183" t="str">
        <f>IF(LEN(TRIM('3 Освоение программы'!D125))=0," ",'3 Освоение программы'!D125)</f>
        <v xml:space="preserve"> </v>
      </c>
      <c r="AX71" s="183"/>
      <c r="AY71" s="183"/>
      <c r="AZ71" s="183"/>
      <c r="BA71" s="183"/>
      <c r="BB71" s="90"/>
      <c r="BC71" s="104"/>
    </row>
    <row r="72" spans="1:55" ht="9.9499999999999993" customHeight="1" x14ac:dyDescent="0.25">
      <c r="A72" s="91"/>
      <c r="B72" s="90"/>
      <c r="C72" s="179" t="str">
        <f>IF(LEN(TRIM('3 Освоение программы'!B58))=0," ",'3 Освоение программы'!B58)</f>
        <v>Дисциплина 57</v>
      </c>
      <c r="D72" s="179"/>
      <c r="E72" s="179"/>
      <c r="F72" s="179"/>
      <c r="G72" s="179"/>
      <c r="H72" s="179"/>
      <c r="I72" s="179"/>
      <c r="J72" s="179"/>
      <c r="K72" s="179"/>
      <c r="L72" s="179"/>
      <c r="M72" s="179"/>
      <c r="N72" s="179"/>
      <c r="O72" s="115"/>
      <c r="P72" s="180" t="str">
        <f>IF(LEN(TRIM('3 Освоение программы'!C58))=0," ",'3 Освоение программы'!C58)</f>
        <v>?? з.е.</v>
      </c>
      <c r="Q72" s="180"/>
      <c r="R72" s="180"/>
      <c r="S72" s="114"/>
      <c r="T72" s="114"/>
      <c r="U72" s="180" t="str">
        <f>IF(LEN(TRIM('3 Освоение программы'!D58))=0," ",'3 Освоение программы'!D58)</f>
        <v>оценка</v>
      </c>
      <c r="V72" s="180"/>
      <c r="W72" s="180"/>
      <c r="X72" s="180"/>
      <c r="Y72" s="90"/>
      <c r="Z72" s="90"/>
      <c r="AA72" s="90"/>
      <c r="AB72" s="90"/>
      <c r="AC72" s="90"/>
      <c r="AD72" s="90"/>
      <c r="AE72" s="193" t="str">
        <f>IF(LEN(TRIM('3 Освоение программы'!B126))=0," ",'3 Освоение программы'!B126)</f>
        <v xml:space="preserve"> </v>
      </c>
      <c r="AF72" s="193"/>
      <c r="AG72" s="193"/>
      <c r="AH72" s="193"/>
      <c r="AI72" s="193"/>
      <c r="AJ72" s="193"/>
      <c r="AK72" s="193"/>
      <c r="AL72" s="193"/>
      <c r="AM72" s="193"/>
      <c r="AN72" s="193"/>
      <c r="AO72" s="193"/>
      <c r="AP72" s="193"/>
      <c r="AQ72" s="93"/>
      <c r="AR72" s="183" t="str">
        <f>IF(LEN(TRIM('3 Освоение программы'!C126))=0," ",'3 Освоение программы'!C126)</f>
        <v xml:space="preserve"> </v>
      </c>
      <c r="AS72" s="183"/>
      <c r="AT72" s="183"/>
      <c r="AU72" s="183"/>
      <c r="AV72" s="93"/>
      <c r="AW72" s="183" t="str">
        <f>IF(LEN(TRIM('3 Освоение программы'!D126))=0," ",'3 Освоение программы'!D126)</f>
        <v xml:space="preserve"> </v>
      </c>
      <c r="AX72" s="183"/>
      <c r="AY72" s="183"/>
      <c r="AZ72" s="183"/>
      <c r="BA72" s="183"/>
      <c r="BB72" s="90"/>
      <c r="BC72" s="104"/>
    </row>
    <row r="73" spans="1:55" ht="9.9499999999999993" customHeight="1" x14ac:dyDescent="0.25">
      <c r="A73" s="91"/>
      <c r="B73" s="90"/>
      <c r="C73" s="179" t="str">
        <f>IF(LEN(TRIM('3 Освоение программы'!B59))=0," ",'3 Освоение программы'!B59)</f>
        <v>Дисциплина 58</v>
      </c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15"/>
      <c r="P73" s="180" t="str">
        <f>IF(LEN(TRIM('3 Освоение программы'!C59))=0," ",'3 Освоение программы'!C59)</f>
        <v>?? з.е.</v>
      </c>
      <c r="Q73" s="180"/>
      <c r="R73" s="180"/>
      <c r="S73" s="114"/>
      <c r="T73" s="114"/>
      <c r="U73" s="180" t="str">
        <f>IF(LEN(TRIM('3 Освоение программы'!D59))=0," ",'3 Освоение программы'!D59)</f>
        <v>оценка</v>
      </c>
      <c r="V73" s="180"/>
      <c r="W73" s="180"/>
      <c r="X73" s="180"/>
      <c r="Y73" s="90"/>
      <c r="Z73" s="90"/>
      <c r="AA73" s="90"/>
      <c r="AB73" s="90"/>
      <c r="AC73" s="90"/>
      <c r="AD73" s="90"/>
      <c r="AE73" s="193" t="str">
        <f>IF(LEN(TRIM('3 Освоение программы'!B127))=0," ",'3 Освоение программы'!B127)</f>
        <v xml:space="preserve"> </v>
      </c>
      <c r="AF73" s="193"/>
      <c r="AG73" s="193"/>
      <c r="AH73" s="193"/>
      <c r="AI73" s="193"/>
      <c r="AJ73" s="193"/>
      <c r="AK73" s="193"/>
      <c r="AL73" s="193"/>
      <c r="AM73" s="193"/>
      <c r="AN73" s="193"/>
      <c r="AO73" s="193"/>
      <c r="AP73" s="193"/>
      <c r="AQ73" s="93"/>
      <c r="AR73" s="183" t="str">
        <f>IF(LEN(TRIM('3 Освоение программы'!C127))=0," ",'3 Освоение программы'!C127)</f>
        <v xml:space="preserve"> </v>
      </c>
      <c r="AS73" s="183"/>
      <c r="AT73" s="183"/>
      <c r="AU73" s="183"/>
      <c r="AV73" s="93"/>
      <c r="AW73" s="183" t="str">
        <f>IF(LEN(TRIM('3 Освоение программы'!D127))=0," ",'3 Освоение программы'!D127)</f>
        <v xml:space="preserve"> </v>
      </c>
      <c r="AX73" s="183"/>
      <c r="AY73" s="183"/>
      <c r="AZ73" s="183"/>
      <c r="BA73" s="183"/>
      <c r="BB73" s="90"/>
      <c r="BC73" s="104"/>
    </row>
    <row r="74" spans="1:55" ht="9.9499999999999993" customHeight="1" x14ac:dyDescent="0.25">
      <c r="A74" s="91"/>
      <c r="B74" s="90"/>
      <c r="C74" s="179" t="str">
        <f>IF(LEN(TRIM('3 Освоение программы'!B60))=0," ",'3 Освоение программы'!B60)</f>
        <v>Дисциплина 59</v>
      </c>
      <c r="D74" s="179"/>
      <c r="E74" s="179"/>
      <c r="F74" s="179"/>
      <c r="G74" s="179"/>
      <c r="H74" s="179"/>
      <c r="I74" s="179"/>
      <c r="J74" s="179"/>
      <c r="K74" s="179"/>
      <c r="L74" s="179"/>
      <c r="M74" s="179"/>
      <c r="N74" s="179"/>
      <c r="O74" s="115"/>
      <c r="P74" s="180" t="str">
        <f>IF(LEN(TRIM('3 Освоение программы'!C60))=0," ",'3 Освоение программы'!C60)</f>
        <v>?? з.е.</v>
      </c>
      <c r="Q74" s="180"/>
      <c r="R74" s="180"/>
      <c r="S74" s="114"/>
      <c r="T74" s="114"/>
      <c r="U74" s="180" t="str">
        <f>IF(LEN(TRIM('3 Освоение программы'!D60))=0," ",'3 Освоение программы'!D60)</f>
        <v>оценка</v>
      </c>
      <c r="V74" s="180"/>
      <c r="W74" s="180"/>
      <c r="X74" s="180"/>
      <c r="Y74" s="90"/>
      <c r="Z74" s="90"/>
      <c r="AA74" s="90"/>
      <c r="AB74" s="90"/>
      <c r="AC74" s="90"/>
      <c r="AD74" s="90"/>
      <c r="AE74" s="193" t="str">
        <f>IF(LEN(TRIM('3 Освоение программы'!B128))=0," ",'3 Освоение программы'!B128)</f>
        <v xml:space="preserve"> </v>
      </c>
      <c r="AF74" s="193"/>
      <c r="AG74" s="193"/>
      <c r="AH74" s="193"/>
      <c r="AI74" s="193"/>
      <c r="AJ74" s="193"/>
      <c r="AK74" s="193"/>
      <c r="AL74" s="193"/>
      <c r="AM74" s="193"/>
      <c r="AN74" s="193"/>
      <c r="AO74" s="193"/>
      <c r="AP74" s="193"/>
      <c r="AQ74" s="93"/>
      <c r="AR74" s="183" t="str">
        <f>IF(LEN(TRIM('3 Освоение программы'!C128))=0," ",'3 Освоение программы'!C128)</f>
        <v xml:space="preserve"> </v>
      </c>
      <c r="AS74" s="183"/>
      <c r="AT74" s="183"/>
      <c r="AU74" s="183"/>
      <c r="AV74" s="93"/>
      <c r="AW74" s="183" t="str">
        <f>IF(LEN(TRIM('3 Освоение программы'!D128))=0," ",'3 Освоение программы'!D128)</f>
        <v xml:space="preserve"> </v>
      </c>
      <c r="AX74" s="183"/>
      <c r="AY74" s="183"/>
      <c r="AZ74" s="183"/>
      <c r="BA74" s="183"/>
      <c r="BB74" s="90"/>
      <c r="BC74" s="104"/>
    </row>
    <row r="75" spans="1:55" ht="9.9499999999999993" customHeight="1" x14ac:dyDescent="0.25">
      <c r="A75" s="91"/>
      <c r="B75" s="90"/>
      <c r="C75" s="179" t="str">
        <f>IF(LEN(TRIM('3 Освоение программы'!B61))=0," ",'3 Освоение программы'!B61)</f>
        <v>Дисциплина 60</v>
      </c>
      <c r="D75" s="179"/>
      <c r="E75" s="179"/>
      <c r="F75" s="179"/>
      <c r="G75" s="179"/>
      <c r="H75" s="179"/>
      <c r="I75" s="179"/>
      <c r="J75" s="179"/>
      <c r="K75" s="179"/>
      <c r="L75" s="179"/>
      <c r="M75" s="179"/>
      <c r="N75" s="179"/>
      <c r="O75" s="115"/>
      <c r="P75" s="180" t="str">
        <f>IF(LEN(TRIM('3 Освоение программы'!C61))=0," ",'3 Освоение программы'!C61)</f>
        <v>?? з.е.</v>
      </c>
      <c r="Q75" s="180"/>
      <c r="R75" s="180"/>
      <c r="S75" s="114"/>
      <c r="T75" s="114"/>
      <c r="U75" s="180" t="str">
        <f>IF(LEN(TRIM('3 Освоение программы'!D61))=0," ",'3 Освоение программы'!D61)</f>
        <v>оценка</v>
      </c>
      <c r="V75" s="180"/>
      <c r="W75" s="180"/>
      <c r="X75" s="180"/>
      <c r="Y75" s="90"/>
      <c r="Z75" s="90"/>
      <c r="AA75" s="90"/>
      <c r="AB75" s="90"/>
      <c r="AC75" s="90"/>
      <c r="AD75" s="90"/>
      <c r="AE75" s="193" t="str">
        <f>IF(LEN(TRIM('3 Освоение программы'!B129))=0," ",'3 Освоение программы'!B129)</f>
        <v xml:space="preserve"> </v>
      </c>
      <c r="AF75" s="193"/>
      <c r="AG75" s="193"/>
      <c r="AH75" s="193"/>
      <c r="AI75" s="193"/>
      <c r="AJ75" s="193"/>
      <c r="AK75" s="193"/>
      <c r="AL75" s="193"/>
      <c r="AM75" s="193"/>
      <c r="AN75" s="193"/>
      <c r="AO75" s="193"/>
      <c r="AP75" s="193"/>
      <c r="AQ75" s="93"/>
      <c r="AR75" s="183" t="str">
        <f>IF(LEN(TRIM('3 Освоение программы'!C129))=0," ",'3 Освоение программы'!C129)</f>
        <v xml:space="preserve"> </v>
      </c>
      <c r="AS75" s="183"/>
      <c r="AT75" s="183"/>
      <c r="AU75" s="183"/>
      <c r="AV75" s="93"/>
      <c r="AW75" s="183" t="str">
        <f>IF(LEN(TRIM('3 Освоение программы'!D129))=0," ",'3 Освоение программы'!D129)</f>
        <v xml:space="preserve"> </v>
      </c>
      <c r="AX75" s="183"/>
      <c r="AY75" s="183"/>
      <c r="AZ75" s="183"/>
      <c r="BA75" s="183"/>
      <c r="BB75" s="90"/>
      <c r="BC75" s="104"/>
    </row>
    <row r="76" spans="1:55" ht="9.9499999999999993" customHeight="1" x14ac:dyDescent="0.25">
      <c r="A76" s="91"/>
      <c r="B76" s="90"/>
      <c r="C76" s="179" t="str">
        <f>IF(LEN(TRIM('3 Освоение программы'!B62))=0," ",'3 Освоение программы'!B62)</f>
        <v>Дисциплина 61</v>
      </c>
      <c r="D76" s="179"/>
      <c r="E76" s="179"/>
      <c r="F76" s="179"/>
      <c r="G76" s="179"/>
      <c r="H76" s="179"/>
      <c r="I76" s="179"/>
      <c r="J76" s="179"/>
      <c r="K76" s="179"/>
      <c r="L76" s="179"/>
      <c r="M76" s="179"/>
      <c r="N76" s="179"/>
      <c r="O76" s="115"/>
      <c r="P76" s="180" t="str">
        <f>IF(LEN(TRIM('3 Освоение программы'!C62))=0," ",'3 Освоение программы'!C62)</f>
        <v>?? з.е.</v>
      </c>
      <c r="Q76" s="180"/>
      <c r="R76" s="180"/>
      <c r="S76" s="114"/>
      <c r="T76" s="114"/>
      <c r="U76" s="180" t="str">
        <f>IF(LEN(TRIM('3 Освоение программы'!D62))=0," ",'3 Освоение программы'!D62)</f>
        <v>оценка</v>
      </c>
      <c r="V76" s="180"/>
      <c r="W76" s="180"/>
      <c r="X76" s="180"/>
      <c r="Y76" s="90"/>
      <c r="Z76" s="90"/>
      <c r="AA76" s="90"/>
      <c r="AB76" s="90"/>
      <c r="AC76" s="90"/>
      <c r="AD76" s="90"/>
      <c r="AE76" s="193" t="str">
        <f>IF(LEN(TRIM('3 Освоение программы'!B130))=0," ",'3 Освоение программы'!B130)</f>
        <v xml:space="preserve"> </v>
      </c>
      <c r="AF76" s="193"/>
      <c r="AG76" s="193"/>
      <c r="AH76" s="193"/>
      <c r="AI76" s="193"/>
      <c r="AJ76" s="193"/>
      <c r="AK76" s="193"/>
      <c r="AL76" s="193"/>
      <c r="AM76" s="193"/>
      <c r="AN76" s="193"/>
      <c r="AO76" s="193"/>
      <c r="AP76" s="193"/>
      <c r="AQ76" s="93"/>
      <c r="AR76" s="183" t="str">
        <f>IF(LEN(TRIM('3 Освоение программы'!C130))=0," ",'3 Освоение программы'!C130)</f>
        <v xml:space="preserve"> </v>
      </c>
      <c r="AS76" s="183"/>
      <c r="AT76" s="183"/>
      <c r="AU76" s="183"/>
      <c r="AV76" s="93"/>
      <c r="AW76" s="183" t="str">
        <f>IF(LEN(TRIM('3 Освоение программы'!D130))=0," ",'3 Освоение программы'!D130)</f>
        <v xml:space="preserve"> </v>
      </c>
      <c r="AX76" s="183"/>
      <c r="AY76" s="183"/>
      <c r="AZ76" s="183"/>
      <c r="BA76" s="183"/>
      <c r="BB76" s="90"/>
      <c r="BC76" s="104"/>
    </row>
    <row r="77" spans="1:55" ht="9.9499999999999993" customHeight="1" x14ac:dyDescent="0.25">
      <c r="A77" s="91"/>
      <c r="B77" s="90"/>
      <c r="C77" s="179" t="str">
        <f>IF(LEN(TRIM('3 Освоение программы'!B63))=0," ",'3 Освоение программы'!B63)</f>
        <v>Дисциплина 62</v>
      </c>
      <c r="D77" s="179"/>
      <c r="E77" s="179"/>
      <c r="F77" s="179"/>
      <c r="G77" s="179"/>
      <c r="H77" s="179"/>
      <c r="I77" s="179"/>
      <c r="J77" s="179"/>
      <c r="K77" s="179"/>
      <c r="L77" s="179"/>
      <c r="M77" s="179"/>
      <c r="N77" s="179"/>
      <c r="O77" s="115"/>
      <c r="P77" s="180" t="str">
        <f>IF(LEN(TRIM('3 Освоение программы'!C63))=0," ",'3 Освоение программы'!C63)</f>
        <v>?? з.е.</v>
      </c>
      <c r="Q77" s="180"/>
      <c r="R77" s="180"/>
      <c r="S77" s="114"/>
      <c r="T77" s="114"/>
      <c r="U77" s="180" t="str">
        <f>IF(LEN(TRIM('3 Освоение программы'!D63))=0," ",'3 Освоение программы'!D63)</f>
        <v>оценка</v>
      </c>
      <c r="V77" s="180"/>
      <c r="W77" s="180"/>
      <c r="X77" s="180"/>
      <c r="Y77" s="90"/>
      <c r="Z77" s="90"/>
      <c r="AA77" s="90"/>
      <c r="AB77" s="90"/>
      <c r="AC77" s="90"/>
      <c r="AD77" s="90"/>
      <c r="AE77" s="193" t="str">
        <f>IF(LEN(TRIM('3 Освоение программы'!B131))=0," ",'3 Освоение программы'!B131)</f>
        <v xml:space="preserve"> </v>
      </c>
      <c r="AF77" s="193"/>
      <c r="AG77" s="193"/>
      <c r="AH77" s="193"/>
      <c r="AI77" s="193"/>
      <c r="AJ77" s="193"/>
      <c r="AK77" s="193"/>
      <c r="AL77" s="193"/>
      <c r="AM77" s="193"/>
      <c r="AN77" s="193"/>
      <c r="AO77" s="193"/>
      <c r="AP77" s="193"/>
      <c r="AQ77" s="93"/>
      <c r="AR77" s="183" t="str">
        <f>IF(LEN(TRIM('3 Освоение программы'!C131))=0," ",'3 Освоение программы'!C131)</f>
        <v xml:space="preserve"> </v>
      </c>
      <c r="AS77" s="183"/>
      <c r="AT77" s="183"/>
      <c r="AU77" s="183"/>
      <c r="AV77" s="93"/>
      <c r="AW77" s="183" t="str">
        <f>IF(LEN(TRIM('3 Освоение программы'!D131))=0," ",'3 Освоение программы'!D131)</f>
        <v xml:space="preserve"> </v>
      </c>
      <c r="AX77" s="183"/>
      <c r="AY77" s="183"/>
      <c r="AZ77" s="183"/>
      <c r="BA77" s="183"/>
      <c r="BB77" s="90"/>
      <c r="BC77" s="104"/>
    </row>
    <row r="78" spans="1:55" ht="9.9499999999999993" customHeight="1" x14ac:dyDescent="0.25">
      <c r="A78" s="91"/>
      <c r="B78" s="90"/>
      <c r="C78" s="179" t="str">
        <f>IF(LEN(TRIM('3 Освоение программы'!B64))=0," ",'3 Освоение программы'!B64)</f>
        <v>Дисциплина 63</v>
      </c>
      <c r="D78" s="179"/>
      <c r="E78" s="179"/>
      <c r="F78" s="179"/>
      <c r="G78" s="179"/>
      <c r="H78" s="179"/>
      <c r="I78" s="179"/>
      <c r="J78" s="179"/>
      <c r="K78" s="179"/>
      <c r="L78" s="179"/>
      <c r="M78" s="179"/>
      <c r="N78" s="179"/>
      <c r="O78" s="115"/>
      <c r="P78" s="180" t="str">
        <f>IF(LEN(TRIM('3 Освоение программы'!C64))=0," ",'3 Освоение программы'!C64)</f>
        <v>?? з.е.</v>
      </c>
      <c r="Q78" s="180"/>
      <c r="R78" s="180"/>
      <c r="S78" s="114"/>
      <c r="T78" s="114"/>
      <c r="U78" s="180" t="str">
        <f>IF(LEN(TRIM('3 Освоение программы'!D64))=0," ",'3 Освоение программы'!D64)</f>
        <v>оценка</v>
      </c>
      <c r="V78" s="180"/>
      <c r="W78" s="180"/>
      <c r="X78" s="180"/>
      <c r="Y78" s="90"/>
      <c r="Z78" s="90"/>
      <c r="AA78" s="90"/>
      <c r="AB78" s="90"/>
      <c r="AC78" s="90"/>
      <c r="AD78" s="90"/>
      <c r="AE78" s="193" t="str">
        <f>IF(LEN(TRIM('3 Освоение программы'!B132))=0," ",'3 Освоение программы'!B132)</f>
        <v xml:space="preserve"> </v>
      </c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93"/>
      <c r="AR78" s="183" t="str">
        <f>IF(LEN(TRIM('3 Освоение программы'!C132))=0," ",'3 Освоение программы'!C132)</f>
        <v xml:space="preserve"> </v>
      </c>
      <c r="AS78" s="183"/>
      <c r="AT78" s="183"/>
      <c r="AU78" s="183"/>
      <c r="AV78" s="93"/>
      <c r="AW78" s="183" t="str">
        <f>IF(LEN(TRIM('3 Освоение программы'!D132))=0," ",'3 Освоение программы'!D132)</f>
        <v xml:space="preserve"> </v>
      </c>
      <c r="AX78" s="183"/>
      <c r="AY78" s="183"/>
      <c r="AZ78" s="183"/>
      <c r="BA78" s="183"/>
      <c r="BB78" s="90"/>
      <c r="BC78" s="104"/>
    </row>
    <row r="79" spans="1:55" ht="9.9499999999999993" customHeight="1" x14ac:dyDescent="0.25">
      <c r="A79" s="91"/>
      <c r="B79" s="90"/>
      <c r="C79" s="179" t="str">
        <f>IF(LEN(TRIM('3 Освоение программы'!B65))=0," ",'3 Освоение программы'!B65)</f>
        <v>Дисциплина 64</v>
      </c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15"/>
      <c r="P79" s="180" t="str">
        <f>IF(LEN(TRIM('3 Освоение программы'!C65))=0," ",'3 Освоение программы'!C65)</f>
        <v>?? з.е.</v>
      </c>
      <c r="Q79" s="180"/>
      <c r="R79" s="180"/>
      <c r="S79" s="114"/>
      <c r="T79" s="114"/>
      <c r="U79" s="180" t="str">
        <f>IF(LEN(TRIM('3 Освоение программы'!D65))=0," ",'3 Освоение программы'!D65)</f>
        <v>оценка</v>
      </c>
      <c r="V79" s="180"/>
      <c r="W79" s="180"/>
      <c r="X79" s="180"/>
      <c r="Y79" s="90"/>
      <c r="Z79" s="90"/>
      <c r="AA79" s="90"/>
      <c r="AB79" s="90"/>
      <c r="AC79" s="90"/>
      <c r="AD79" s="90"/>
      <c r="AE79" s="193" t="str">
        <f>IF(LEN(TRIM('3 Освоение программы'!B133))=0," ",'3 Освоение программы'!B133)</f>
        <v xml:space="preserve"> </v>
      </c>
      <c r="AF79" s="193"/>
      <c r="AG79" s="193"/>
      <c r="AH79" s="193"/>
      <c r="AI79" s="193"/>
      <c r="AJ79" s="193"/>
      <c r="AK79" s="193"/>
      <c r="AL79" s="193"/>
      <c r="AM79" s="193"/>
      <c r="AN79" s="193"/>
      <c r="AO79" s="193"/>
      <c r="AP79" s="193"/>
      <c r="AQ79" s="93"/>
      <c r="AR79" s="183" t="str">
        <f>IF(LEN(TRIM('3 Освоение программы'!C133))=0," ",'3 Освоение программы'!C133)</f>
        <v xml:space="preserve"> </v>
      </c>
      <c r="AS79" s="183"/>
      <c r="AT79" s="183"/>
      <c r="AU79" s="183"/>
      <c r="AV79" s="93"/>
      <c r="AW79" s="183" t="str">
        <f>IF(LEN(TRIM('3 Освоение программы'!D133))=0," ",'3 Освоение программы'!D133)</f>
        <v xml:space="preserve"> </v>
      </c>
      <c r="AX79" s="183"/>
      <c r="AY79" s="183"/>
      <c r="AZ79" s="183"/>
      <c r="BA79" s="183"/>
      <c r="BB79" s="90"/>
      <c r="BC79" s="104"/>
    </row>
    <row r="80" spans="1:55" ht="9.9499999999999993" customHeight="1" x14ac:dyDescent="0.25">
      <c r="A80" s="91"/>
      <c r="B80" s="90"/>
      <c r="C80" s="179" t="str">
        <f>IF(LEN(TRIM('3 Освоение программы'!B66))=0," ",'3 Освоение программы'!B66)</f>
        <v>Дисциплина 65</v>
      </c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15"/>
      <c r="P80" s="180" t="str">
        <f>IF(LEN(TRIM('3 Освоение программы'!C66))=0," ",'3 Освоение программы'!C66)</f>
        <v>?? з.е.</v>
      </c>
      <c r="Q80" s="180"/>
      <c r="R80" s="180"/>
      <c r="S80" s="114"/>
      <c r="T80" s="114"/>
      <c r="U80" s="180" t="str">
        <f>IF(LEN(TRIM('3 Освоение программы'!D66))=0," ",'3 Освоение программы'!D66)</f>
        <v>оценка</v>
      </c>
      <c r="V80" s="180"/>
      <c r="W80" s="180"/>
      <c r="X80" s="180"/>
      <c r="Y80" s="90"/>
      <c r="Z80" s="90"/>
      <c r="AA80" s="90"/>
      <c r="AB80" s="90"/>
      <c r="AC80" s="90"/>
      <c r="AD80" s="90"/>
      <c r="AE80" s="193" t="str">
        <f>IF(LEN(TRIM('3 Освоение программы'!B134))=0," ",'3 Освоение программы'!B134)</f>
        <v xml:space="preserve"> </v>
      </c>
      <c r="AF80" s="193"/>
      <c r="AG80" s="193"/>
      <c r="AH80" s="193"/>
      <c r="AI80" s="193"/>
      <c r="AJ80" s="193"/>
      <c r="AK80" s="193"/>
      <c r="AL80" s="193"/>
      <c r="AM80" s="193"/>
      <c r="AN80" s="193"/>
      <c r="AO80" s="193"/>
      <c r="AP80" s="193"/>
      <c r="AQ80" s="93"/>
      <c r="AR80" s="183" t="str">
        <f>IF(LEN(TRIM('3 Освоение программы'!C134))=0," ",'3 Освоение программы'!C134)</f>
        <v xml:space="preserve"> </v>
      </c>
      <c r="AS80" s="183"/>
      <c r="AT80" s="183"/>
      <c r="AU80" s="183"/>
      <c r="AV80" s="93"/>
      <c r="AW80" s="183" t="str">
        <f>IF(LEN(TRIM('3 Освоение программы'!D134))=0," ",'3 Освоение программы'!D134)</f>
        <v xml:space="preserve"> </v>
      </c>
      <c r="AX80" s="183"/>
      <c r="AY80" s="183"/>
      <c r="AZ80" s="183"/>
      <c r="BA80" s="183"/>
      <c r="BB80" s="90"/>
      <c r="BC80" s="104"/>
    </row>
    <row r="81" spans="1:55" ht="9.9499999999999993" customHeight="1" x14ac:dyDescent="0.25">
      <c r="A81" s="91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1"/>
      <c r="R81" s="90"/>
      <c r="S81" s="90"/>
      <c r="T81" s="90"/>
      <c r="U81" s="92"/>
      <c r="V81" s="92"/>
      <c r="W81" s="92"/>
      <c r="X81" s="92"/>
      <c r="Y81" s="90"/>
      <c r="Z81" s="90"/>
      <c r="AA81" s="90"/>
      <c r="AB81" s="90"/>
      <c r="AC81" s="90"/>
      <c r="AD81" s="90"/>
      <c r="AE81" s="193"/>
      <c r="AF81" s="193"/>
      <c r="AG81" s="193"/>
      <c r="AH81" s="193"/>
      <c r="AI81" s="193"/>
      <c r="AJ81" s="193"/>
      <c r="AK81" s="193"/>
      <c r="AL81" s="193"/>
      <c r="AM81" s="193"/>
      <c r="AN81" s="193"/>
      <c r="AO81" s="193"/>
      <c r="AP81" s="193"/>
      <c r="AQ81" s="93"/>
      <c r="AR81" s="183"/>
      <c r="AS81" s="183"/>
      <c r="AT81" s="183"/>
      <c r="AU81" s="93"/>
      <c r="AV81" s="93"/>
      <c r="AW81" s="183"/>
      <c r="AX81" s="183"/>
      <c r="AY81" s="183"/>
      <c r="AZ81" s="183"/>
      <c r="BA81" s="90"/>
      <c r="BB81" s="90"/>
      <c r="BC81" s="104"/>
    </row>
    <row r="82" spans="1:55" ht="9.9499999999999993" customHeight="1" x14ac:dyDescent="0.25">
      <c r="A82" s="91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1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2"/>
      <c r="AX82" s="92"/>
      <c r="AY82" s="92"/>
      <c r="AZ82" s="92"/>
      <c r="BA82" s="90"/>
      <c r="BB82" s="90"/>
      <c r="BC82" s="104"/>
    </row>
    <row r="83" spans="1:55" ht="9.9499999999999993" customHeight="1" x14ac:dyDescent="0.25">
      <c r="A83" s="91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1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104"/>
    </row>
    <row r="84" spans="1:55" x14ac:dyDescent="0.2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28"/>
    </row>
  </sheetData>
  <sheetProtection password="DBF4" sheet="1" objects="1" scenarios="1"/>
  <mergeCells count="402">
    <mergeCell ref="AE13:AP13"/>
    <mergeCell ref="AR13:AU13"/>
    <mergeCell ref="AW13:BA13"/>
    <mergeCell ref="AE14:AP14"/>
    <mergeCell ref="AR14:AU14"/>
    <mergeCell ref="AW14:BA14"/>
    <mergeCell ref="C17:N17"/>
    <mergeCell ref="P17:R17"/>
    <mergeCell ref="U17:X17"/>
    <mergeCell ref="AE17:AP17"/>
    <mergeCell ref="AR17:AU17"/>
    <mergeCell ref="AW17:BA17"/>
    <mergeCell ref="AE15:AP15"/>
    <mergeCell ref="AR15:AU15"/>
    <mergeCell ref="AW15:BA15"/>
    <mergeCell ref="C16:N16"/>
    <mergeCell ref="P16:R16"/>
    <mergeCell ref="U16:X16"/>
    <mergeCell ref="AE16:AP16"/>
    <mergeCell ref="AR16:AU16"/>
    <mergeCell ref="AW16:BA16"/>
    <mergeCell ref="C19:N19"/>
    <mergeCell ref="P19:R19"/>
    <mergeCell ref="U19:X19"/>
    <mergeCell ref="AE19:AP19"/>
    <mergeCell ref="AR19:AU19"/>
    <mergeCell ref="AW19:BA19"/>
    <mergeCell ref="C18:N18"/>
    <mergeCell ref="P18:R18"/>
    <mergeCell ref="U18:X18"/>
    <mergeCell ref="AE18:AP18"/>
    <mergeCell ref="AR18:AU18"/>
    <mergeCell ref="AW18:BA18"/>
    <mergeCell ref="C21:N21"/>
    <mergeCell ref="P21:R21"/>
    <mergeCell ref="U21:X21"/>
    <mergeCell ref="AE21:AP21"/>
    <mergeCell ref="AR21:AU21"/>
    <mergeCell ref="AW21:BA21"/>
    <mergeCell ref="C20:N20"/>
    <mergeCell ref="P20:R20"/>
    <mergeCell ref="U20:X20"/>
    <mergeCell ref="AE20:AP20"/>
    <mergeCell ref="AR20:AU20"/>
    <mergeCell ref="AW20:BA20"/>
    <mergeCell ref="C23:N23"/>
    <mergeCell ref="P23:R23"/>
    <mergeCell ref="U23:X23"/>
    <mergeCell ref="AE23:AP23"/>
    <mergeCell ref="AR23:AU23"/>
    <mergeCell ref="AW23:BA23"/>
    <mergeCell ref="C22:N22"/>
    <mergeCell ref="P22:R22"/>
    <mergeCell ref="U22:X22"/>
    <mergeCell ref="AE22:AP22"/>
    <mergeCell ref="AR22:AU22"/>
    <mergeCell ref="AW22:BA22"/>
    <mergeCell ref="C25:N25"/>
    <mergeCell ref="P25:R25"/>
    <mergeCell ref="U25:X25"/>
    <mergeCell ref="AE25:AP25"/>
    <mergeCell ref="AR25:AU25"/>
    <mergeCell ref="AW25:BA25"/>
    <mergeCell ref="C24:N24"/>
    <mergeCell ref="P24:R24"/>
    <mergeCell ref="U24:X24"/>
    <mergeCell ref="AE24:AP24"/>
    <mergeCell ref="AR24:AU24"/>
    <mergeCell ref="AW24:BA24"/>
    <mergeCell ref="C27:N27"/>
    <mergeCell ref="P27:R27"/>
    <mergeCell ref="U27:X27"/>
    <mergeCell ref="AE27:AP27"/>
    <mergeCell ref="AR27:AU27"/>
    <mergeCell ref="AW27:BA27"/>
    <mergeCell ref="C26:N26"/>
    <mergeCell ref="P26:R26"/>
    <mergeCell ref="U26:X26"/>
    <mergeCell ref="AE26:AP26"/>
    <mergeCell ref="AR26:AU26"/>
    <mergeCell ref="AW26:BA26"/>
    <mergeCell ref="C29:N29"/>
    <mergeCell ref="P29:R29"/>
    <mergeCell ref="U29:X29"/>
    <mergeCell ref="AE29:AP29"/>
    <mergeCell ref="AR29:AU29"/>
    <mergeCell ref="AW29:BA29"/>
    <mergeCell ref="C28:N28"/>
    <mergeCell ref="P28:R28"/>
    <mergeCell ref="U28:X28"/>
    <mergeCell ref="AE28:AP28"/>
    <mergeCell ref="AR28:AU28"/>
    <mergeCell ref="AW28:BA28"/>
    <mergeCell ref="C31:N31"/>
    <mergeCell ref="P31:R31"/>
    <mergeCell ref="U31:X31"/>
    <mergeCell ref="AE31:AP31"/>
    <mergeCell ref="AR31:AU31"/>
    <mergeCell ref="AW31:BA31"/>
    <mergeCell ref="C30:N30"/>
    <mergeCell ref="P30:R30"/>
    <mergeCell ref="U30:X30"/>
    <mergeCell ref="AE30:AP30"/>
    <mergeCell ref="AR30:AU30"/>
    <mergeCell ref="AW30:BA30"/>
    <mergeCell ref="C33:N33"/>
    <mergeCell ref="P33:R33"/>
    <mergeCell ref="U33:X33"/>
    <mergeCell ref="AE33:AP33"/>
    <mergeCell ref="AR33:AU33"/>
    <mergeCell ref="AW33:BA33"/>
    <mergeCell ref="C32:N32"/>
    <mergeCell ref="P32:R32"/>
    <mergeCell ref="U32:X32"/>
    <mergeCell ref="AE32:AP32"/>
    <mergeCell ref="AR32:AU32"/>
    <mergeCell ref="AW32:BA32"/>
    <mergeCell ref="C35:N35"/>
    <mergeCell ref="P35:R35"/>
    <mergeCell ref="U35:X35"/>
    <mergeCell ref="AE35:AP35"/>
    <mergeCell ref="AR35:AU35"/>
    <mergeCell ref="AW35:BA35"/>
    <mergeCell ref="C34:N34"/>
    <mergeCell ref="P34:R34"/>
    <mergeCell ref="U34:X34"/>
    <mergeCell ref="AE34:AP34"/>
    <mergeCell ref="AR34:AU34"/>
    <mergeCell ref="AW34:BA34"/>
    <mergeCell ref="C37:N37"/>
    <mergeCell ref="P37:R37"/>
    <mergeCell ref="U37:X37"/>
    <mergeCell ref="AE37:AP37"/>
    <mergeCell ref="AR37:AU37"/>
    <mergeCell ref="AW37:BA37"/>
    <mergeCell ref="C36:N36"/>
    <mergeCell ref="P36:R36"/>
    <mergeCell ref="U36:X36"/>
    <mergeCell ref="AE36:AP36"/>
    <mergeCell ref="AR36:AU36"/>
    <mergeCell ref="AW36:BA36"/>
    <mergeCell ref="C39:N39"/>
    <mergeCell ref="P39:R39"/>
    <mergeCell ref="U39:X39"/>
    <mergeCell ref="AE39:AP39"/>
    <mergeCell ref="AR39:AU39"/>
    <mergeCell ref="AW39:BA39"/>
    <mergeCell ref="C38:N38"/>
    <mergeCell ref="P38:R38"/>
    <mergeCell ref="U38:X38"/>
    <mergeCell ref="AE38:AP38"/>
    <mergeCell ref="AR38:AU38"/>
    <mergeCell ref="AW38:BA38"/>
    <mergeCell ref="C41:N41"/>
    <mergeCell ref="P41:R41"/>
    <mergeCell ref="U41:X41"/>
    <mergeCell ref="AE41:AP41"/>
    <mergeCell ref="AR41:AU41"/>
    <mergeCell ref="AW41:BA41"/>
    <mergeCell ref="C40:N40"/>
    <mergeCell ref="P40:R40"/>
    <mergeCell ref="U40:X40"/>
    <mergeCell ref="AE40:AP40"/>
    <mergeCell ref="AR40:AU40"/>
    <mergeCell ref="AW40:BA40"/>
    <mergeCell ref="C43:N43"/>
    <mergeCell ref="P43:R43"/>
    <mergeCell ref="U43:X43"/>
    <mergeCell ref="AE43:AP43"/>
    <mergeCell ref="AR43:AU43"/>
    <mergeCell ref="AW43:BA43"/>
    <mergeCell ref="C42:N42"/>
    <mergeCell ref="P42:R42"/>
    <mergeCell ref="U42:X42"/>
    <mergeCell ref="AE42:AP42"/>
    <mergeCell ref="AR42:AU42"/>
    <mergeCell ref="AW42:BA42"/>
    <mergeCell ref="C45:N45"/>
    <mergeCell ref="P45:R45"/>
    <mergeCell ref="U45:X45"/>
    <mergeCell ref="AE45:AP45"/>
    <mergeCell ref="AR45:AU45"/>
    <mergeCell ref="AW45:BA45"/>
    <mergeCell ref="C44:N44"/>
    <mergeCell ref="P44:R44"/>
    <mergeCell ref="U44:X44"/>
    <mergeCell ref="AE44:AP44"/>
    <mergeCell ref="AR44:AU44"/>
    <mergeCell ref="AW44:BA44"/>
    <mergeCell ref="C47:N47"/>
    <mergeCell ref="P47:R47"/>
    <mergeCell ref="U47:X47"/>
    <mergeCell ref="AE47:AP47"/>
    <mergeCell ref="AR47:AU47"/>
    <mergeCell ref="AW47:BA47"/>
    <mergeCell ref="C46:N46"/>
    <mergeCell ref="P46:R46"/>
    <mergeCell ref="U46:X46"/>
    <mergeCell ref="AE46:AP46"/>
    <mergeCell ref="AR46:AU46"/>
    <mergeCell ref="AW46:BA46"/>
    <mergeCell ref="C49:N49"/>
    <mergeCell ref="P49:R49"/>
    <mergeCell ref="U49:X49"/>
    <mergeCell ref="AE49:AP49"/>
    <mergeCell ref="AR49:AU49"/>
    <mergeCell ref="AW49:BA49"/>
    <mergeCell ref="C48:N48"/>
    <mergeCell ref="P48:R48"/>
    <mergeCell ref="U48:X48"/>
    <mergeCell ref="AE48:AP48"/>
    <mergeCell ref="AR48:AU48"/>
    <mergeCell ref="AW48:BA48"/>
    <mergeCell ref="C51:N51"/>
    <mergeCell ref="P51:R51"/>
    <mergeCell ref="U51:X51"/>
    <mergeCell ref="AE51:AP51"/>
    <mergeCell ref="AR51:AU51"/>
    <mergeCell ref="AW51:BA51"/>
    <mergeCell ref="C50:N50"/>
    <mergeCell ref="P50:R50"/>
    <mergeCell ref="U50:X50"/>
    <mergeCell ref="AE50:AP50"/>
    <mergeCell ref="AR50:AU50"/>
    <mergeCell ref="AW50:BA50"/>
    <mergeCell ref="C53:N53"/>
    <mergeCell ref="P53:R53"/>
    <mergeCell ref="U53:X53"/>
    <mergeCell ref="AE53:AP53"/>
    <mergeCell ref="AR53:AU53"/>
    <mergeCell ref="AW53:BA53"/>
    <mergeCell ref="C52:N52"/>
    <mergeCell ref="P52:R52"/>
    <mergeCell ref="U52:X52"/>
    <mergeCell ref="AE52:AP52"/>
    <mergeCell ref="AR52:AU52"/>
    <mergeCell ref="AW52:BA52"/>
    <mergeCell ref="C55:N55"/>
    <mergeCell ref="P55:R55"/>
    <mergeCell ref="U55:X55"/>
    <mergeCell ref="AE55:AP55"/>
    <mergeCell ref="AR55:AU55"/>
    <mergeCell ref="AW55:BA55"/>
    <mergeCell ref="C54:N54"/>
    <mergeCell ref="P54:R54"/>
    <mergeCell ref="U54:X54"/>
    <mergeCell ref="AE54:AP54"/>
    <mergeCell ref="AR54:AU54"/>
    <mergeCell ref="AW54:BA54"/>
    <mergeCell ref="C57:N57"/>
    <mergeCell ref="P57:R57"/>
    <mergeCell ref="U57:X57"/>
    <mergeCell ref="AE57:AP57"/>
    <mergeCell ref="AR57:AU57"/>
    <mergeCell ref="AW57:BA57"/>
    <mergeCell ref="C56:N56"/>
    <mergeCell ref="P56:R56"/>
    <mergeCell ref="U56:X56"/>
    <mergeCell ref="AE56:AP56"/>
    <mergeCell ref="AR56:AU56"/>
    <mergeCell ref="AW56:BA56"/>
    <mergeCell ref="C59:N59"/>
    <mergeCell ref="P59:R59"/>
    <mergeCell ref="U59:X59"/>
    <mergeCell ref="AE59:AP59"/>
    <mergeCell ref="AR59:AU59"/>
    <mergeCell ref="AW59:BA59"/>
    <mergeCell ref="C58:N58"/>
    <mergeCell ref="P58:R58"/>
    <mergeCell ref="U58:X58"/>
    <mergeCell ref="AE58:AP58"/>
    <mergeCell ref="AR58:AU58"/>
    <mergeCell ref="AW58:BA58"/>
    <mergeCell ref="C61:N61"/>
    <mergeCell ref="P61:R61"/>
    <mergeCell ref="U61:X61"/>
    <mergeCell ref="AE61:AP61"/>
    <mergeCell ref="AR61:AU61"/>
    <mergeCell ref="AW61:BA61"/>
    <mergeCell ref="C60:N60"/>
    <mergeCell ref="P60:R60"/>
    <mergeCell ref="U60:X60"/>
    <mergeCell ref="AE60:AP60"/>
    <mergeCell ref="AR60:AU60"/>
    <mergeCell ref="AW60:BA60"/>
    <mergeCell ref="C63:N63"/>
    <mergeCell ref="P63:R63"/>
    <mergeCell ref="U63:X63"/>
    <mergeCell ref="AE63:AP63"/>
    <mergeCell ref="AR63:AU63"/>
    <mergeCell ref="AW63:BA63"/>
    <mergeCell ref="C62:N62"/>
    <mergeCell ref="P62:R62"/>
    <mergeCell ref="U62:X62"/>
    <mergeCell ref="AE62:AP62"/>
    <mergeCell ref="AR62:AU62"/>
    <mergeCell ref="AW62:BA62"/>
    <mergeCell ref="C65:N65"/>
    <mergeCell ref="P65:R65"/>
    <mergeCell ref="U65:X65"/>
    <mergeCell ref="AE65:AP65"/>
    <mergeCell ref="AR65:AU65"/>
    <mergeCell ref="AW65:BA65"/>
    <mergeCell ref="C64:N64"/>
    <mergeCell ref="P64:R64"/>
    <mergeCell ref="U64:X64"/>
    <mergeCell ref="AE64:AP64"/>
    <mergeCell ref="AR64:AU64"/>
    <mergeCell ref="AW64:BA64"/>
    <mergeCell ref="C67:N67"/>
    <mergeCell ref="P67:R67"/>
    <mergeCell ref="U67:X67"/>
    <mergeCell ref="AE67:AP67"/>
    <mergeCell ref="AR67:AU67"/>
    <mergeCell ref="AW67:BA67"/>
    <mergeCell ref="C66:N66"/>
    <mergeCell ref="P66:R66"/>
    <mergeCell ref="U66:X66"/>
    <mergeCell ref="AE66:AP66"/>
    <mergeCell ref="AR66:AU66"/>
    <mergeCell ref="AW66:BA66"/>
    <mergeCell ref="C69:N69"/>
    <mergeCell ref="P69:R69"/>
    <mergeCell ref="U69:X69"/>
    <mergeCell ref="AE69:AP69"/>
    <mergeCell ref="AR69:AU69"/>
    <mergeCell ref="AW69:BA69"/>
    <mergeCell ref="C68:N68"/>
    <mergeCell ref="P68:R68"/>
    <mergeCell ref="U68:X68"/>
    <mergeCell ref="AE68:AP68"/>
    <mergeCell ref="AR68:AU68"/>
    <mergeCell ref="AW68:BA68"/>
    <mergeCell ref="C71:N71"/>
    <mergeCell ref="P71:R71"/>
    <mergeCell ref="U71:X71"/>
    <mergeCell ref="AE71:AP71"/>
    <mergeCell ref="AR71:AU71"/>
    <mergeCell ref="AW71:BA71"/>
    <mergeCell ref="C70:N70"/>
    <mergeCell ref="P70:R70"/>
    <mergeCell ref="U70:X70"/>
    <mergeCell ref="AE70:AP70"/>
    <mergeCell ref="AR70:AU70"/>
    <mergeCell ref="AW70:BA70"/>
    <mergeCell ref="C73:N73"/>
    <mergeCell ref="P73:R73"/>
    <mergeCell ref="U73:X73"/>
    <mergeCell ref="AE73:AP73"/>
    <mergeCell ref="AR73:AU73"/>
    <mergeCell ref="AW73:BA73"/>
    <mergeCell ref="C72:N72"/>
    <mergeCell ref="P72:R72"/>
    <mergeCell ref="U72:X72"/>
    <mergeCell ref="AE72:AP72"/>
    <mergeCell ref="AR72:AU72"/>
    <mergeCell ref="AW72:BA72"/>
    <mergeCell ref="C75:N75"/>
    <mergeCell ref="P75:R75"/>
    <mergeCell ref="U75:X75"/>
    <mergeCell ref="AE75:AP75"/>
    <mergeCell ref="AR75:AU75"/>
    <mergeCell ref="AW75:BA75"/>
    <mergeCell ref="C74:N74"/>
    <mergeCell ref="P74:R74"/>
    <mergeCell ref="U74:X74"/>
    <mergeCell ref="AE74:AP74"/>
    <mergeCell ref="AR74:AU74"/>
    <mergeCell ref="AW74:BA74"/>
    <mergeCell ref="C77:N77"/>
    <mergeCell ref="P77:R77"/>
    <mergeCell ref="U77:X77"/>
    <mergeCell ref="AE77:AP77"/>
    <mergeCell ref="AR77:AU77"/>
    <mergeCell ref="AW77:BA77"/>
    <mergeCell ref="C76:N76"/>
    <mergeCell ref="P76:R76"/>
    <mergeCell ref="U76:X76"/>
    <mergeCell ref="AE76:AP76"/>
    <mergeCell ref="AR76:AU76"/>
    <mergeCell ref="AW76:BA76"/>
    <mergeCell ref="C79:N79"/>
    <mergeCell ref="P79:R79"/>
    <mergeCell ref="U79:X79"/>
    <mergeCell ref="AE79:AP79"/>
    <mergeCell ref="AR79:AU79"/>
    <mergeCell ref="AW79:BA79"/>
    <mergeCell ref="C78:N78"/>
    <mergeCell ref="P78:R78"/>
    <mergeCell ref="U78:X78"/>
    <mergeCell ref="AE78:AP78"/>
    <mergeCell ref="AR78:AU78"/>
    <mergeCell ref="AW78:BA78"/>
    <mergeCell ref="AE81:AP81"/>
    <mergeCell ref="AR81:AT81"/>
    <mergeCell ref="AW81:AZ81"/>
    <mergeCell ref="C80:N80"/>
    <mergeCell ref="P80:R80"/>
    <mergeCell ref="U80:X80"/>
    <mergeCell ref="AE80:AP80"/>
    <mergeCell ref="AR80:AU80"/>
    <mergeCell ref="AW80:BA80"/>
  </mergeCells>
  <pageMargins left="0" right="0" top="0" bottom="0" header="0" footer="0"/>
  <pageSetup paperSize="8" orientation="landscape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2</vt:i4>
      </vt:variant>
    </vt:vector>
  </HeadingPairs>
  <TitlesOfParts>
    <vt:vector size="13" baseType="lpstr">
      <vt:lpstr>Диплом</vt:lpstr>
      <vt:lpstr>1 Обладатель диплома</vt:lpstr>
      <vt:lpstr>3 Освоение программы</vt:lpstr>
      <vt:lpstr>4 доп.сведения</vt:lpstr>
      <vt:lpstr>5 Доп сведения</vt:lpstr>
      <vt:lpstr> Лицевая 04</vt:lpstr>
      <vt:lpstr>Лист1</vt:lpstr>
      <vt:lpstr>Лист2</vt:lpstr>
      <vt:lpstr>Оборотная24</vt:lpstr>
      <vt:lpstr>Лицевая (2)</vt:lpstr>
      <vt:lpstr>Оборотная (2)</vt:lpstr>
      <vt:lpstr>' Лицевая 04'!Область_печати</vt:lpstr>
      <vt:lpstr>Оборотная24!Область_печати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2024-11-12T09:58:00Z</dcterms:modified>
</cp:coreProperties>
</file>