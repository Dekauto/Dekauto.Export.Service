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-120" yWindow="-120" windowWidth="19440" windowHeight="15600" tabRatio="755" activeTab="2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62913" refMode="R1C1"/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16" i="15"/>
  <c r="C19" i="15"/>
  <c r="C22" i="15"/>
  <c r="C25" i="15"/>
  <c r="C28" i="15"/>
  <c r="C31" i="15"/>
  <c r="C34" i="15"/>
  <c r="C37" i="15"/>
  <c r="C40" i="15"/>
  <c r="AV80" i="10" l="1"/>
  <c r="AR80" i="10"/>
  <c r="AE80" i="10"/>
  <c r="AV79" i="10"/>
  <c r="AR79" i="10"/>
  <c r="AE79" i="10"/>
  <c r="AV78" i="10"/>
  <c r="AR78" i="10"/>
  <c r="AE78" i="10"/>
  <c r="AV77" i="10"/>
  <c r="AR77" i="10"/>
  <c r="AE77" i="10"/>
  <c r="AV76" i="10"/>
  <c r="AR76" i="10"/>
  <c r="AE76" i="10"/>
  <c r="AV75" i="10"/>
  <c r="AR75" i="10"/>
  <c r="AE75" i="10"/>
  <c r="AV74" i="10"/>
  <c r="AR74" i="10"/>
  <c r="AE74" i="10"/>
  <c r="AV73" i="10"/>
  <c r="AR73" i="10"/>
  <c r="AE73" i="10"/>
  <c r="AV72" i="10"/>
  <c r="AR72" i="10"/>
  <c r="AE72" i="10"/>
  <c r="AV71" i="10"/>
  <c r="AR71" i="10"/>
  <c r="AE71" i="10"/>
  <c r="AV70" i="10"/>
  <c r="AR70" i="10"/>
  <c r="AE70" i="10"/>
  <c r="AV69" i="10"/>
  <c r="AR69" i="10"/>
  <c r="AE69" i="10"/>
  <c r="AV68" i="10"/>
  <c r="AR68" i="10"/>
  <c r="AE68" i="10"/>
  <c r="AV67" i="10"/>
  <c r="AR67" i="10"/>
  <c r="AE67" i="10"/>
  <c r="AV66" i="10"/>
  <c r="AR66" i="10"/>
  <c r="AE66" i="10"/>
  <c r="AV65" i="10"/>
  <c r="AR65" i="10"/>
  <c r="AE65" i="10"/>
  <c r="AV64" i="10"/>
  <c r="AR64" i="10"/>
  <c r="AE64" i="10"/>
  <c r="AV63" i="10"/>
  <c r="AR63" i="10"/>
  <c r="AE63" i="10"/>
  <c r="AV62" i="10"/>
  <c r="AR62" i="10"/>
  <c r="AE62" i="10"/>
  <c r="AV61" i="10"/>
  <c r="AR61" i="10"/>
  <c r="AE61" i="10"/>
  <c r="AV60" i="10"/>
  <c r="AR60" i="10"/>
  <c r="AE60" i="10"/>
  <c r="AV59" i="10"/>
  <c r="AR59" i="10"/>
  <c r="AE59" i="10"/>
  <c r="AV58" i="10"/>
  <c r="AR58" i="10"/>
  <c r="AE58" i="10"/>
  <c r="AV57" i="10"/>
  <c r="AR57" i="10"/>
  <c r="AE57" i="10"/>
  <c r="AV56" i="10"/>
  <c r="AR56" i="10"/>
  <c r="AE56" i="10"/>
  <c r="AV55" i="10"/>
  <c r="AR55" i="10"/>
  <c r="AE55" i="10"/>
  <c r="AV54" i="10"/>
  <c r="AR54" i="10"/>
  <c r="AE54" i="10"/>
  <c r="AV53" i="10"/>
  <c r="AR53" i="10"/>
  <c r="AE53" i="10"/>
  <c r="AV52" i="10"/>
  <c r="AR52" i="10"/>
  <c r="AE52" i="10"/>
  <c r="AV51" i="10"/>
  <c r="AR51" i="10"/>
  <c r="AE51" i="10"/>
  <c r="AV50" i="10"/>
  <c r="AR50" i="10"/>
  <c r="AE50" i="10"/>
  <c r="AV49" i="10"/>
  <c r="AR49" i="10"/>
  <c r="AE49" i="10"/>
  <c r="AV48" i="10"/>
  <c r="AR48" i="10"/>
  <c r="AE48" i="10"/>
  <c r="AV47" i="10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AV39" i="10"/>
  <c r="AR39" i="10"/>
  <c r="AE39" i="10"/>
  <c r="AV38" i="10"/>
  <c r="AR38" i="10"/>
  <c r="AE38" i="10"/>
  <c r="AV37" i="10"/>
  <c r="AR37" i="10"/>
  <c r="AE37" i="10"/>
  <c r="AV36" i="10"/>
  <c r="AR36" i="10"/>
  <c r="AE36" i="10"/>
  <c r="AV35" i="10"/>
  <c r="AR35" i="10"/>
  <c r="AE35" i="10"/>
  <c r="AV34" i="10"/>
  <c r="AR34" i="10"/>
  <c r="AE34" i="10"/>
  <c r="AV33" i="10"/>
  <c r="AR33" i="10"/>
  <c r="AE33" i="10"/>
  <c r="AV32" i="10"/>
  <c r="AR32" i="10"/>
  <c r="AE32" i="10"/>
  <c r="AV31" i="10"/>
  <c r="AR31" i="10"/>
  <c r="AE31" i="10"/>
  <c r="AV30" i="10"/>
  <c r="AR30" i="10"/>
  <c r="AE30" i="10"/>
  <c r="AV29" i="10"/>
  <c r="AR29" i="10"/>
  <c r="AE29" i="10"/>
  <c r="AV28" i="10"/>
  <c r="AR28" i="10"/>
  <c r="AE28" i="10"/>
  <c r="AV27" i="10"/>
  <c r="AR27" i="10"/>
  <c r="AE27" i="10"/>
  <c r="AV26" i="10"/>
  <c r="AR26" i="10"/>
  <c r="AE26" i="10"/>
  <c r="AV25" i="10"/>
  <c r="AR25" i="10"/>
  <c r="AE25" i="10"/>
  <c r="AV24" i="10"/>
  <c r="AR24" i="10"/>
  <c r="AE24" i="10"/>
  <c r="AV23" i="10"/>
  <c r="AR23" i="10"/>
  <c r="AE23" i="10"/>
  <c r="AV22" i="10"/>
  <c r="AR22" i="10"/>
  <c r="AE22" i="10"/>
  <c r="AV21" i="10"/>
  <c r="AR21" i="10"/>
  <c r="AE21" i="10"/>
  <c r="AV20" i="10"/>
  <c r="AR20" i="10"/>
  <c r="AE20" i="10"/>
  <c r="AV19" i="10"/>
  <c r="AR19" i="10"/>
  <c r="AE19" i="10"/>
  <c r="AV18" i="10"/>
  <c r="AR18" i="10"/>
  <c r="AE18" i="10"/>
  <c r="AV17" i="10"/>
  <c r="AR17" i="10"/>
  <c r="AE17" i="10"/>
  <c r="AV16" i="10"/>
  <c r="AR16" i="10"/>
  <c r="AE16" i="10"/>
  <c r="AV15" i="10"/>
  <c r="AR15" i="10"/>
  <c r="AE15" i="10"/>
  <c r="AV14" i="10"/>
  <c r="AR14" i="10"/>
  <c r="AE14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BV147" i="15" l="1"/>
  <c r="B44" i="10" l="1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13" i="10" l="1"/>
  <c r="D10" i="7"/>
  <c r="AR13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<sst xmlns="http://schemas.openxmlformats.org/spreadsheetml/2006/main" count="345" uniqueCount="172">
  <si>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</si>
  <si>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</si>
  <si>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</si>
  <si>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</si>
  <si>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</si>
  <si>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</si>
  <si>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</si>
  <si>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</si>
  <si>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</si>
  <si>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</si>
  <si>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</si>
  <si>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</si>
  <si>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</si>
  <si>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</si>
  <si>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</si>
  <si>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</si>
  <si>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</si>
  <si>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</si>
  <si>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</si>
  <si>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</si>
  <si>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</si>
  <si>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</si>
  <si>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</si>
  <si>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</si>
  <si>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</si>
  <si>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</si>
  <si>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</si>
  <si>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</si>
  <si>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</si>
  <si>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</si>
  <si>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</si>
  <si>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</si>
  <si>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</si>
  <si>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</si>
  <si>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</si>
  <si>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</si>
  <si>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</si>
  <si>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</si>
  <si>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</si>
  <si>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</si>
  <si>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</si>
  <si>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</si>
  <si>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</si>
  <si>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</si>
  <si>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</si>
  <si>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</si>
  <si>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</si>
  <si>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</si>
  <si>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</si>
  <si>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</si>
  <si>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</si>
  <si>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</si>
  <si>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</si>
  <si>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</si>
  <si>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</si>
  <si>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</si>
  <si>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</si>
  <si>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</si>
  <si>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</si>
  <si>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</si>
  <si>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</si>
  <si>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</si>
  <si>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</si>
  <si>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</si>
  <si>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</si>
  <si>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</si>
  <si>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</si>
  <si>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</si>
  <si>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</si>
  <si>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</si>
  <si>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</si>
  <si>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</si>
  <si>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</si>
  <si>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</si>
  <si>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</si>
  <si>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</si>
  <si>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</si>
  <si>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</si>
  <si>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</si>
  <si>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</si>
  <si>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</si>
  <si>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</si>
  <si>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</si>
  <si>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</si>
  <si>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</si>
  <si>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</si>
  <si>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</si>
  <si>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</si>
  <si>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</si>
  <si>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</si>
  <si>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</si>
  <si>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</si>
  <si>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</si>
  <si>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</si>
  <si>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</si>
  <si>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</si>
  <si>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</si>
  <si>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</si>
  <si>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</si>
  <si>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</si>
  <si>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</si>
  <si>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</si>
  <si>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</si>
  <si>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</si>
  <si>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</si>
  <si>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</si>
  <si>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</si>
  <si>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</si>
  <si>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</si>
  <si>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</si>
  <si>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</si>
  <si>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</si>
  <si>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</si>
  <si>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</si>
  <si>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</si>
  <si>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</si>
  <si>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</si>
  <si>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</si>
  <si>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</si>
  <si>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</si>
  <si>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</si>
  <si>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</si>
  <si>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</si>
  <si>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</si>
  <si>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</si>
  <si>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</si>
  <si>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</si>
  <si>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</si>
  <si>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</si>
  <si>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</si>
  <si>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</si>
  <si>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</si>
  <si>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</si>
  <si>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</si>
  <si>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</si>
  <si>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</si>
  <si>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</si>
  <si>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</si>
  <si>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</si>
  <si>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</si>
  <si>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</si>
  <si>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</si>
  <si>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</si>
  <si>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</si>
  <si>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</si>
  <si>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</si>
  <si>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</si>
  <si>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</si>
  <si>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</si>
  <si>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</si>
  <si>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</si>
  <si>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</si>
  <si>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</si>
  <si>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</si>
  <si>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</si>
  <si>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</si>
  <si>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</si>
  <si>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</si>
  <si>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</si>
  <si>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специалиста</t>
  </si>
  <si>
    <t>лет</t>
  </si>
  <si>
    <t xml:space="preserve">Выпускная квалификационная работа (дипломная работа) </t>
  </si>
  <si>
    <t xml:space="preserve">Специализация: Наименование </t>
  </si>
  <si>
    <t>XXXX/Б24</t>
  </si>
  <si>
    <t>XX июня 2024 года</t>
  </si>
  <si>
    <t>(протокол № ___ от «XX» июня 2024 г.)</t>
  </si>
  <si>
    <t xml:space="preserve">44.05.01 Педагогика и психология девиантного поведения </t>
  </si>
  <si>
    <t>Социальный педагог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</si>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</sst>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18" sqref="B18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71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159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163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31" sqref="B31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84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86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85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167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166</v>
      </c>
      <c r="C14" s="57"/>
      <c r="D14" s="57"/>
      <c r="E14" s="57"/>
      <c r="F14" s="3"/>
    </row>
    <row r="15" spans="1:6" x14ac:dyDescent="0.25">
      <c r="A15" s="56" t="s">
        <v>79</v>
      </c>
      <c r="B15" s="70" t="s">
        <v>165</v>
      </c>
      <c r="C15" s="154" t="s">
        <v>87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5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160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abSelected="1" topLeftCell="A71" zoomScaleNormal="100" workbookViewId="0">
      <selection activeCell="B104" sqref="B104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80</v>
      </c>
      <c r="C1" s="74" t="s">
        <v>81</v>
      </c>
      <c r="D1" s="74" t="s">
        <v>24</v>
      </c>
      <c r="E1" s="72" t="s">
        <v>82</v>
      </c>
      <c r="F1" s="3"/>
    </row>
    <row r="2" spans="1:6" x14ac:dyDescent="0.25">
      <c r="A2" s="75">
        <v>1</v>
      </c>
      <c r="B2" s="51" t="s">
        <v>88</v>
      </c>
      <c r="C2" s="52" t="s">
        <v>168</v>
      </c>
      <c r="D2" s="51" t="s">
        <v>169</v>
      </c>
      <c r="E2" s="73">
        <f>LEN(B2)</f>
        <v>12</v>
      </c>
      <c r="F2" s="3"/>
    </row>
    <row r="3" spans="1:6" x14ac:dyDescent="0.25">
      <c r="A3" s="75">
        <v>2</v>
      </c>
      <c r="B3" s="51" t="s">
        <v>89</v>
      </c>
      <c r="C3" s="52" t="s">
        <v>168</v>
      </c>
      <c r="D3" s="51" t="s">
        <v>169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90</v>
      </c>
      <c r="C4" s="52" t="s">
        <v>168</v>
      </c>
      <c r="D4" s="51" t="s">
        <v>169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91</v>
      </c>
      <c r="C5" s="52" t="s">
        <v>168</v>
      </c>
      <c r="D5" s="51" t="s">
        <v>169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92</v>
      </c>
      <c r="C6" s="52" t="s">
        <v>168</v>
      </c>
      <c r="D6" s="51" t="s">
        <v>169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93</v>
      </c>
      <c r="C7" s="52" t="s">
        <v>168</v>
      </c>
      <c r="D7" s="51" t="s">
        <v>169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94</v>
      </c>
      <c r="C8" s="52" t="s">
        <v>168</v>
      </c>
      <c r="D8" s="51" t="s">
        <v>169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95</v>
      </c>
      <c r="C9" s="52" t="s">
        <v>168</v>
      </c>
      <c r="D9" s="51" t="s">
        <v>169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96</v>
      </c>
      <c r="C10" s="52" t="s">
        <v>168</v>
      </c>
      <c r="D10" s="51" t="s">
        <v>169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97</v>
      </c>
      <c r="C11" s="52" t="s">
        <v>168</v>
      </c>
      <c r="D11" s="51" t="s">
        <v>169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98</v>
      </c>
      <c r="C12" s="52" t="s">
        <v>168</v>
      </c>
      <c r="D12" s="51" t="s">
        <v>169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99</v>
      </c>
      <c r="C13" s="52" t="s">
        <v>168</v>
      </c>
      <c r="D13" s="51" t="s">
        <v>169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100</v>
      </c>
      <c r="C14" s="52" t="s">
        <v>168</v>
      </c>
      <c r="D14" s="51" t="s">
        <v>169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101</v>
      </c>
      <c r="C15" s="52" t="s">
        <v>168</v>
      </c>
      <c r="D15" s="51" t="s">
        <v>169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102</v>
      </c>
      <c r="C16" s="52" t="s">
        <v>168</v>
      </c>
      <c r="D16" s="51" t="s">
        <v>169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103</v>
      </c>
      <c r="C17" s="52" t="s">
        <v>168</v>
      </c>
      <c r="D17" s="51" t="s">
        <v>169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104</v>
      </c>
      <c r="C18" s="52" t="s">
        <v>168</v>
      </c>
      <c r="D18" s="51" t="s">
        <v>169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105</v>
      </c>
      <c r="C19" s="52" t="s">
        <v>168</v>
      </c>
      <c r="D19" s="51" t="s">
        <v>169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106</v>
      </c>
      <c r="C20" s="52" t="s">
        <v>168</v>
      </c>
      <c r="D20" s="51" t="s">
        <v>169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107</v>
      </c>
      <c r="C21" s="52" t="s">
        <v>168</v>
      </c>
      <c r="D21" s="51" t="s">
        <v>169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108</v>
      </c>
      <c r="C22" s="52" t="s">
        <v>168</v>
      </c>
      <c r="D22" s="51" t="s">
        <v>169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109</v>
      </c>
      <c r="C23" s="52" t="s">
        <v>168</v>
      </c>
      <c r="D23" s="51" t="s">
        <v>169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110</v>
      </c>
      <c r="C24" s="52" t="s">
        <v>168</v>
      </c>
      <c r="D24" s="51" t="s">
        <v>169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111</v>
      </c>
      <c r="C25" s="52" t="s">
        <v>168</v>
      </c>
      <c r="D25" s="51" t="s">
        <v>169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112</v>
      </c>
      <c r="C26" s="52" t="s">
        <v>168</v>
      </c>
      <c r="D26" s="51" t="s">
        <v>169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113</v>
      </c>
      <c r="C27" s="52" t="s">
        <v>168</v>
      </c>
      <c r="D27" s="51" t="s">
        <v>169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114</v>
      </c>
      <c r="C28" s="52" t="s">
        <v>168</v>
      </c>
      <c r="D28" s="51" t="s">
        <v>169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115</v>
      </c>
      <c r="C29" s="52" t="s">
        <v>168</v>
      </c>
      <c r="D29" s="51" t="s">
        <v>169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116</v>
      </c>
      <c r="C30" s="52" t="s">
        <v>168</v>
      </c>
      <c r="D30" s="51" t="s">
        <v>169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117</v>
      </c>
      <c r="C31" s="52" t="s">
        <v>168</v>
      </c>
      <c r="D31" s="51" t="s">
        <v>169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118</v>
      </c>
      <c r="C32" s="52" t="s">
        <v>168</v>
      </c>
      <c r="D32" s="51" t="s">
        <v>169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119</v>
      </c>
      <c r="C33" s="52" t="s">
        <v>168</v>
      </c>
      <c r="D33" s="51" t="s">
        <v>169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120</v>
      </c>
      <c r="C34" s="52" t="s">
        <v>168</v>
      </c>
      <c r="D34" s="51" t="s">
        <v>169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121</v>
      </c>
      <c r="C35" s="52" t="s">
        <v>168</v>
      </c>
      <c r="D35" s="51" t="s">
        <v>169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122</v>
      </c>
      <c r="C36" s="52" t="s">
        <v>168</v>
      </c>
      <c r="D36" s="51" t="s">
        <v>169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123</v>
      </c>
      <c r="C37" s="52" t="s">
        <v>168</v>
      </c>
      <c r="D37" s="51" t="s">
        <v>169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124</v>
      </c>
      <c r="C38" s="52" t="s">
        <v>168</v>
      </c>
      <c r="D38" s="51" t="s">
        <v>169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125</v>
      </c>
      <c r="C39" s="52" t="s">
        <v>168</v>
      </c>
      <c r="D39" s="51" t="s">
        <v>169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126</v>
      </c>
      <c r="C40" s="52" t="s">
        <v>168</v>
      </c>
      <c r="D40" s="51" t="s">
        <v>169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127</v>
      </c>
      <c r="C41" s="52" t="s">
        <v>168</v>
      </c>
      <c r="D41" s="51" t="s">
        <v>169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128</v>
      </c>
      <c r="C42" s="52" t="s">
        <v>168</v>
      </c>
      <c r="D42" s="51" t="s">
        <v>169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129</v>
      </c>
      <c r="C43" s="52" t="s">
        <v>168</v>
      </c>
      <c r="D43" s="51" t="s">
        <v>169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130</v>
      </c>
      <c r="C44" s="52" t="s">
        <v>168</v>
      </c>
      <c r="D44" s="51" t="s">
        <v>169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131</v>
      </c>
      <c r="C45" s="52" t="s">
        <v>168</v>
      </c>
      <c r="D45" s="51" t="s">
        <v>169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132</v>
      </c>
      <c r="C46" s="52" t="s">
        <v>168</v>
      </c>
      <c r="D46" s="51" t="s">
        <v>169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133</v>
      </c>
      <c r="C47" s="52" t="s">
        <v>168</v>
      </c>
      <c r="D47" s="51" t="s">
        <v>169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134</v>
      </c>
      <c r="C48" s="52" t="s">
        <v>168</v>
      </c>
      <c r="D48" s="51" t="s">
        <v>169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135</v>
      </c>
      <c r="C49" s="52" t="s">
        <v>168</v>
      </c>
      <c r="D49" s="51" t="s">
        <v>169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136</v>
      </c>
      <c r="C50" s="52" t="s">
        <v>168</v>
      </c>
      <c r="D50" s="51" t="s">
        <v>169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137</v>
      </c>
      <c r="C51" s="52" t="s">
        <v>168</v>
      </c>
      <c r="D51" s="51" t="s">
        <v>169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138</v>
      </c>
      <c r="C52" s="52" t="s">
        <v>168</v>
      </c>
      <c r="D52" s="51" t="s">
        <v>169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139</v>
      </c>
      <c r="C53" s="52" t="s">
        <v>168</v>
      </c>
      <c r="D53" s="51" t="s">
        <v>169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140</v>
      </c>
      <c r="C54" s="52" t="s">
        <v>168</v>
      </c>
      <c r="D54" s="51" t="s">
        <v>169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141</v>
      </c>
      <c r="C55" s="52" t="s">
        <v>168</v>
      </c>
      <c r="D55" s="51" t="s">
        <v>169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142</v>
      </c>
      <c r="C56" s="52" t="s">
        <v>168</v>
      </c>
      <c r="D56" s="51" t="s">
        <v>169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143</v>
      </c>
      <c r="C57" s="52" t="s">
        <v>168</v>
      </c>
      <c r="D57" s="51" t="s">
        <v>169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144</v>
      </c>
      <c r="C58" s="52" t="s">
        <v>168</v>
      </c>
      <c r="D58" s="51" t="s">
        <v>169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145</v>
      </c>
      <c r="C59" s="52" t="s">
        <v>168</v>
      </c>
      <c r="D59" s="51" t="s">
        <v>169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146</v>
      </c>
      <c r="C60" s="52" t="s">
        <v>168</v>
      </c>
      <c r="D60" s="51" t="s">
        <v>169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147</v>
      </c>
      <c r="C61" s="52" t="s">
        <v>168</v>
      </c>
      <c r="D61" s="51" t="s">
        <v>169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148</v>
      </c>
      <c r="C62" s="52" t="s">
        <v>168</v>
      </c>
      <c r="D62" s="51" t="s">
        <v>169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149</v>
      </c>
      <c r="C63" s="52" t="s">
        <v>168</v>
      </c>
      <c r="D63" s="51" t="s">
        <v>169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150</v>
      </c>
      <c r="C64" s="52" t="s">
        <v>168</v>
      </c>
      <c r="D64" s="51" t="s">
        <v>169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151</v>
      </c>
      <c r="C65" s="52" t="s">
        <v>168</v>
      </c>
      <c r="D65" s="51" t="s">
        <v>169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152</v>
      </c>
      <c r="C66" s="52" t="s">
        <v>168</v>
      </c>
      <c r="D66" s="51" t="s">
        <v>169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153</v>
      </c>
      <c r="C67" s="52" t="s">
        <v>168</v>
      </c>
      <c r="D67" s="51" t="s">
        <v>169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168</v>
      </c>
      <c r="D68" s="51" t="s">
        <v>169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168</v>
      </c>
      <c r="D69" s="51" t="s">
        <v>169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168</v>
      </c>
      <c r="D70" s="51" t="s">
        <v>169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168</v>
      </c>
      <c r="D71" s="51" t="s">
        <v>169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168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168</v>
      </c>
      <c r="D74" s="51" t="s">
        <v>169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168</v>
      </c>
      <c r="D75" s="51" t="s">
        <v>169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168</v>
      </c>
      <c r="D76" s="51" t="s">
        <v>169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168</v>
      </c>
      <c r="D77" s="51" t="s">
        <v>169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168</v>
      </c>
      <c r="D78" s="51" t="s">
        <v>169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170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161</v>
      </c>
      <c r="C81" s="52"/>
      <c r="D81" s="51"/>
      <c r="E81" s="73">
        <f t="shared" si="1"/>
        <v>53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63</v>
      </c>
      <c r="D83" s="51" t="s">
        <v>169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73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74</v>
      </c>
      <c r="C86" s="52" t="s">
        <v>171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75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76</v>
      </c>
      <c r="C88" s="52"/>
      <c r="D88" s="51" t="s">
        <v>169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75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76</v>
      </c>
      <c r="C90" s="52"/>
      <c r="D90" s="51" t="s">
        <v>169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77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168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4" sqref="B4:C4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1" t="s">
        <v>78</v>
      </c>
      <c r="C1" s="162"/>
      <c r="D1" s="74" t="s">
        <v>83</v>
      </c>
      <c r="E1" s="86"/>
    </row>
    <row r="2" spans="1:5" x14ac:dyDescent="0.25">
      <c r="A2" s="82">
        <v>1</v>
      </c>
      <c r="B2" s="159" t="s">
        <v>162</v>
      </c>
      <c r="C2" s="160"/>
      <c r="D2" s="79">
        <f>LEN(B2)</f>
        <v>28</v>
      </c>
      <c r="E2" s="76"/>
    </row>
    <row r="3" spans="1:5" x14ac:dyDescent="0.25">
      <c r="A3" s="79">
        <v>2</v>
      </c>
      <c r="B3" s="159" t="s">
        <v>65</v>
      </c>
      <c r="C3" s="160"/>
      <c r="D3" s="79">
        <f t="shared" ref="D3:D41" si="0">LEN(B3)</f>
        <v>21</v>
      </c>
      <c r="E3" s="76"/>
    </row>
    <row r="4" spans="1:5" x14ac:dyDescent="0.25">
      <c r="A4" s="79">
        <v>3</v>
      </c>
      <c r="B4" s="159"/>
      <c r="C4" s="160"/>
      <c r="D4" s="79">
        <f t="shared" si="0"/>
        <v>0</v>
      </c>
      <c r="E4" s="76"/>
    </row>
    <row r="5" spans="1:5" x14ac:dyDescent="0.25">
      <c r="A5" s="79">
        <v>4</v>
      </c>
      <c r="B5" s="157"/>
      <c r="C5" s="158"/>
      <c r="D5" s="79">
        <f t="shared" si="0"/>
        <v>0</v>
      </c>
      <c r="E5" s="76"/>
    </row>
    <row r="6" spans="1:5" x14ac:dyDescent="0.25">
      <c r="A6" s="79">
        <v>5</v>
      </c>
      <c r="B6" s="157"/>
      <c r="C6" s="158"/>
      <c r="D6" s="79">
        <f t="shared" si="0"/>
        <v>0</v>
      </c>
      <c r="E6" s="76"/>
    </row>
    <row r="7" spans="1:5" x14ac:dyDescent="0.25">
      <c r="A7" s="79">
        <v>6</v>
      </c>
      <c r="B7" s="157"/>
      <c r="C7" s="158"/>
      <c r="D7" s="79">
        <f t="shared" si="0"/>
        <v>0</v>
      </c>
      <c r="E7" s="76"/>
    </row>
    <row r="8" spans="1:5" x14ac:dyDescent="0.25">
      <c r="A8" s="79">
        <v>7</v>
      </c>
      <c r="B8" s="157"/>
      <c r="C8" s="158"/>
      <c r="D8" s="79">
        <f t="shared" si="0"/>
        <v>0</v>
      </c>
      <c r="E8" s="76"/>
    </row>
    <row r="9" spans="1:5" x14ac:dyDescent="0.25">
      <c r="A9" s="79">
        <v>8</v>
      </c>
      <c r="B9" s="157"/>
      <c r="C9" s="158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password="DBF4" sheet="1" objects="1" scenarios="1"/>
  <mergeCells count="9">
    <mergeCell ref="B8:C8"/>
    <mergeCell ref="B9:C9"/>
    <mergeCell ref="B2:C2"/>
    <mergeCell ref="B3:C3"/>
    <mergeCell ref="B1:C1"/>
    <mergeCell ref="B4:C4"/>
    <mergeCell ref="B5:C5"/>
    <mergeCell ref="B6:C6"/>
    <mergeCell ref="B7:C7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68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J36" zoomScaleNormal="70" zoomScaleSheetLayoutView="100" workbookViewId="0">
      <selection activeCell="BW119" sqref="BW119:DA122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70" t="str">
        <f>IF(LEN(TRIM('4 доп.сведения'!B2))=0," ",'4 доп.сведения'!B2)</f>
        <v xml:space="preserve">Специализация: Наименование 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70" t="str">
        <f>IF(LEN(TRIM('4 доп.сведения'!B3))=0," ",'4 доп.сведения'!B3)</f>
        <v>Форма обучения: очная</v>
      </c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4" t="str">
        <f>IF(LEN(TRIM('4 доп.сведения'!B4))=0," ",'4 доп.сведения'!B4)</f>
        <v xml:space="preserve"> </v>
      </c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4" t="str">
        <f>IF(LEN(TRIM('4 доп.сведения'!B5))=0," ",'4 доп.сведения'!B5)</f>
        <v xml:space="preserve"> </v>
      </c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6" t="str">
        <f>'1 Обладатель диплома'!B3</f>
        <v>Фамилия</v>
      </c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4" t="str">
        <f>IF(LEN(TRIM('4 доп.сведения'!B6))=0," ",'4 доп.сведения'!B6)</f>
        <v xml:space="preserve"> 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4" t="str">
        <f>IF(LEN(TRIM('4 доп.сведения'!B7))=0," ",'4 доп.сведения'!B7)</f>
        <v xml:space="preserve"> </v>
      </c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4" t="str">
        <f>IF(LEN(TRIM('4 доп.сведения'!B8))=0," ",'4 доп.сведения'!B8)</f>
        <v xml:space="preserve"> </v>
      </c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4" t="str">
        <f>IF(LEN(TRIM('4 доп.сведения'!B9))=0," ",'4 доп.сведения'!B9)</f>
        <v xml:space="preserve"> </v>
      </c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6" t="str">
        <f>'1 Обладатель диплома'!B4</f>
        <v>Имя</v>
      </c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4" t="str">
        <f>IF(LEN(TRIM('4 доп.сведения'!B10))=0," ",'4 доп.сведения'!B10)</f>
        <v xml:space="preserve"> </v>
      </c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4" t="str">
        <f>IF(LEN(TRIM('4 доп.сведения'!B11))=0," ",'4 доп.сведения'!B11)</f>
        <v xml:space="preserve"> </v>
      </c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4" t="str">
        <f>IF(LEN(TRIM('4 доп.сведения'!B12))=0," ",'4 доп.сведения'!B12)</f>
        <v xml:space="preserve"> 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4" t="str">
        <f>IF(LEN(TRIM('4 доп.сведения'!B13))=0," ",'4 доп.сведения'!B13)</f>
        <v xml:space="preserve"> </v>
      </c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6" t="str">
        <f>'1 Обладатель диплома'!B5</f>
        <v>Отчество</v>
      </c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4" t="str">
        <f>IF(LEN(TRIM('4 доп.сведения'!B14))=0," ",'4 доп.сведения'!B14)</f>
        <v xml:space="preserve"> </v>
      </c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4" t="str">
        <f>IF(LEN(TRIM('4 доп.сведения'!B15))=0," ",'4 доп.сведения'!B15)</f>
        <v xml:space="preserve"> </v>
      </c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4" t="str">
        <f>IF(LEN(TRIM('4 доп.сведения'!B16))=0," ",'4 доп.сведения'!B16)</f>
        <v xml:space="preserve"> </v>
      </c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6" t="str">
        <f>'1 Обладатель диплома'!B6</f>
        <v>01 января 1988 года</v>
      </c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4" t="str">
        <f>IF(LEN(TRIM('4 доп.сведения'!B17))=0," ",'4 доп.сведения'!B17)</f>
        <v xml:space="preserve"> </v>
      </c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4" t="str">
        <f>IF(LEN(TRIM('4 доп.сведения'!B18))=0," ",'4 доп.сведения'!B18)</f>
        <v xml:space="preserve"> </v>
      </c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4" t="str">
        <f>IF(LEN(TRIM('4 доп.сведения'!B19))=0," ",'4 доп.сведения'!B19)</f>
        <v xml:space="preserve"> </v>
      </c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30"/>
      <c r="BB68" s="30"/>
      <c r="BC68" s="30"/>
      <c r="BD68" s="30"/>
      <c r="BE68" s="164" t="str">
        <f>Диплом!B3</f>
        <v>г Москва</v>
      </c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30"/>
      <c r="BB69" s="30"/>
      <c r="BC69" s="30"/>
      <c r="BD69" s="30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4" t="str">
        <f>IF(LEN(TRIM('4 доп.сведения'!B20))=0," ",'4 доп.сведения'!B20)</f>
        <v xml:space="preserve"> </v>
      </c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4" t="str">
        <f>IF(LEN(TRIM('4 доп.сведения'!B21))=0," ",'4 доп.сведения'!B21)</f>
        <v xml:space="preserve"> </v>
      </c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4" t="str">
        <f>IF(LEN(TRIM('4 доп.сведения'!B22))=0," ",'4 доп.сведения'!B22)</f>
        <v xml:space="preserve"> </v>
      </c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4" t="str">
        <f>IF(LEN(TRIM('4 доп.сведения'!B23))=0," ",'4 доп.сведения'!B23)</f>
        <v xml:space="preserve"> </v>
      </c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4" t="str">
        <f>IF(LEN(TRIM('4 доп.сведения'!B24))=0," ",'4 доп.сведения'!B24)</f>
        <v xml:space="preserve"> </v>
      </c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4" t="str">
        <f>IF(LEN(TRIM('4 доп.сведения'!B25))=0," ",'4 доп.сведения'!B25)</f>
        <v xml:space="preserve"> </v>
      </c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30"/>
      <c r="BB87" s="30"/>
      <c r="BC87" s="30"/>
      <c r="BD87" s="30"/>
      <c r="BE87" s="164" t="str">
        <f>IF(Диплом!B4=""," ",Диплом!B4)</f>
        <v xml:space="preserve"> </v>
      </c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4" t="str">
        <f>IF(LEN(TRIM('4 доп.сведения'!B26))=0," ",'4 доп.сведения'!B26)</f>
        <v xml:space="preserve"> </v>
      </c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30"/>
      <c r="BB88" s="30"/>
      <c r="BC88" s="30"/>
      <c r="BD88" s="30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30"/>
      <c r="BB89" s="30"/>
      <c r="BC89" s="30"/>
      <c r="BD89" s="30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30"/>
      <c r="BB90" s="30"/>
      <c r="BC90" s="30"/>
      <c r="BD90" s="30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4" t="str">
        <f>IF(LEN(TRIM('4 доп.сведения'!B27))=0," ",'4 доп.сведения'!B27)</f>
        <v xml:space="preserve"> </v>
      </c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30"/>
      <c r="BB91" s="30"/>
      <c r="BC91" s="30"/>
      <c r="BD91" s="30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30"/>
      <c r="BB92" s="30"/>
      <c r="BC92" s="30"/>
      <c r="BD92" s="30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30"/>
      <c r="BB93" s="30"/>
      <c r="BC93" s="30"/>
      <c r="BD93" s="30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4" t="str">
        <f>Диплом!B5&amp;" "&amp;Диплом!B6</f>
        <v>специалиста с отличием</v>
      </c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164"/>
      <c r="BT106" s="164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  <c r="BQ107" s="164"/>
      <c r="BR107" s="164"/>
      <c r="BS107" s="164"/>
      <c r="BT107" s="164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164"/>
      <c r="BT109" s="164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4" t="str">
        <f>IF(LEN(TRIM('1 Обладатель диплома'!B11))=0," ",'1 Обладатель диплома'!B11)</f>
        <v>Социальный педагог</v>
      </c>
      <c r="BX119" s="164"/>
      <c r="BY119" s="164"/>
      <c r="BZ119" s="164"/>
      <c r="CA119" s="164"/>
      <c r="CB119" s="164"/>
      <c r="CC119" s="164"/>
      <c r="CD119" s="164"/>
      <c r="CE119" s="164"/>
      <c r="CF119" s="164"/>
      <c r="CG119" s="164"/>
      <c r="CH119" s="164"/>
      <c r="CI119" s="164"/>
      <c r="CJ119" s="164"/>
      <c r="CK119" s="164"/>
      <c r="CL119" s="164"/>
      <c r="CM119" s="164"/>
      <c r="CN119" s="164"/>
      <c r="CO119" s="164"/>
      <c r="CP119" s="164"/>
      <c r="CQ119" s="164"/>
      <c r="CR119" s="164"/>
      <c r="CS119" s="164"/>
      <c r="CT119" s="164"/>
      <c r="CU119" s="164"/>
      <c r="CV119" s="164"/>
      <c r="CW119" s="164"/>
      <c r="CX119" s="164"/>
      <c r="CY119" s="164"/>
      <c r="CZ119" s="164"/>
      <c r="DA119" s="164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4"/>
      <c r="BX120" s="164"/>
      <c r="BY120" s="164"/>
      <c r="BZ120" s="164"/>
      <c r="CA120" s="164"/>
      <c r="CB120" s="164"/>
      <c r="CC120" s="164"/>
      <c r="CD120" s="164"/>
      <c r="CE120" s="164"/>
      <c r="CF120" s="164"/>
      <c r="CG120" s="164"/>
      <c r="CH120" s="164"/>
      <c r="CI120" s="164"/>
      <c r="CJ120" s="164"/>
      <c r="CK120" s="164"/>
      <c r="CL120" s="164"/>
      <c r="CM120" s="164"/>
      <c r="CN120" s="164"/>
      <c r="CO120" s="164"/>
      <c r="CP120" s="164"/>
      <c r="CQ120" s="164"/>
      <c r="CR120" s="164"/>
      <c r="CS120" s="164"/>
      <c r="CT120" s="164"/>
      <c r="CU120" s="164"/>
      <c r="CV120" s="164"/>
      <c r="CW120" s="164"/>
      <c r="CX120" s="164"/>
      <c r="CY120" s="164"/>
      <c r="CZ120" s="164"/>
      <c r="DA120" s="164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4"/>
      <c r="BX121" s="164"/>
      <c r="BY121" s="164"/>
      <c r="BZ121" s="164"/>
      <c r="CA121" s="164"/>
      <c r="CB121" s="164"/>
      <c r="CC121" s="164"/>
      <c r="CD121" s="164"/>
      <c r="CE121" s="164"/>
      <c r="CF121" s="164"/>
      <c r="CG121" s="164"/>
      <c r="CH121" s="164"/>
      <c r="CI121" s="164"/>
      <c r="CJ121" s="164"/>
      <c r="CK121" s="164"/>
      <c r="CL121" s="164"/>
      <c r="CM121" s="164"/>
      <c r="CN121" s="164"/>
      <c r="CO121" s="164"/>
      <c r="CP121" s="164"/>
      <c r="CQ121" s="164"/>
      <c r="CR121" s="164"/>
      <c r="CS121" s="164"/>
      <c r="CT121" s="164"/>
      <c r="CU121" s="164"/>
      <c r="CV121" s="164"/>
      <c r="CW121" s="164"/>
      <c r="CX121" s="164"/>
      <c r="CY121" s="164"/>
      <c r="CZ121" s="164"/>
      <c r="DA121" s="164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4"/>
      <c r="BX122" s="164"/>
      <c r="BY122" s="164"/>
      <c r="BZ122" s="164"/>
      <c r="CA122" s="164"/>
      <c r="CB122" s="164"/>
      <c r="CC122" s="164"/>
      <c r="CD122" s="164"/>
      <c r="CE122" s="164"/>
      <c r="CF122" s="164"/>
      <c r="CG122" s="164"/>
      <c r="CH122" s="164"/>
      <c r="CI122" s="164"/>
      <c r="CJ122" s="164"/>
      <c r="CK122" s="164"/>
      <c r="CL122" s="164"/>
      <c r="CM122" s="164"/>
      <c r="CN122" s="164"/>
      <c r="CO122" s="164"/>
      <c r="CP122" s="164"/>
      <c r="CQ122" s="164"/>
      <c r="CR122" s="164"/>
      <c r="CS122" s="164"/>
      <c r="CT122" s="164"/>
      <c r="CU122" s="164"/>
      <c r="CV122" s="164"/>
      <c r="CW122" s="164"/>
      <c r="CX122" s="164"/>
      <c r="CY122" s="164"/>
      <c r="CZ122" s="164"/>
      <c r="DA122" s="164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71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23" s="171"/>
      <c r="BY123" s="171"/>
      <c r="BZ123" s="171"/>
      <c r="CA123" s="171"/>
      <c r="CB123" s="171"/>
      <c r="CC123" s="171"/>
      <c r="CD123" s="171"/>
      <c r="CE123" s="171"/>
      <c r="CF123" s="171"/>
      <c r="CG123" s="171"/>
      <c r="CH123" s="171"/>
      <c r="CI123" s="171"/>
      <c r="CJ123" s="171"/>
      <c r="CK123" s="171"/>
      <c r="CL123" s="171"/>
      <c r="CM123" s="171"/>
      <c r="CN123" s="171"/>
      <c r="CO123" s="171"/>
      <c r="CP123" s="171"/>
      <c r="CQ123" s="171"/>
      <c r="CR123" s="171"/>
      <c r="CS123" s="171"/>
      <c r="CT123" s="171"/>
      <c r="CU123" s="171"/>
      <c r="CV123" s="171"/>
      <c r="CW123" s="171"/>
      <c r="CX123" s="171"/>
      <c r="CY123" s="171"/>
      <c r="CZ123" s="171"/>
      <c r="DA123" s="171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71"/>
      <c r="BX124" s="171"/>
      <c r="BY124" s="171"/>
      <c r="BZ124" s="171"/>
      <c r="CA124" s="171"/>
      <c r="CB124" s="171"/>
      <c r="CC124" s="171"/>
      <c r="CD124" s="171"/>
      <c r="CE124" s="171"/>
      <c r="CF124" s="171"/>
      <c r="CG124" s="171"/>
      <c r="CH124" s="171"/>
      <c r="CI124" s="171"/>
      <c r="CJ124" s="171"/>
      <c r="CK124" s="171"/>
      <c r="CL124" s="171"/>
      <c r="CM124" s="171"/>
      <c r="CN124" s="171"/>
      <c r="CO124" s="171"/>
      <c r="CP124" s="171"/>
      <c r="CQ124" s="171"/>
      <c r="CR124" s="171"/>
      <c r="CS124" s="171"/>
      <c r="CT124" s="171"/>
      <c r="CU124" s="171"/>
      <c r="CV124" s="171"/>
      <c r="CW124" s="171"/>
      <c r="CX124" s="171"/>
      <c r="CY124" s="171"/>
      <c r="CZ124" s="171"/>
      <c r="DA124" s="171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71"/>
      <c r="BX125" s="171"/>
      <c r="BY125" s="171"/>
      <c r="BZ125" s="171"/>
      <c r="CA125" s="171"/>
      <c r="CB125" s="171"/>
      <c r="CC125" s="171"/>
      <c r="CD125" s="171"/>
      <c r="CE125" s="171"/>
      <c r="CF125" s="171"/>
      <c r="CG125" s="171"/>
      <c r="CH125" s="171"/>
      <c r="CI125" s="171"/>
      <c r="CJ125" s="171"/>
      <c r="CK125" s="171"/>
      <c r="CL125" s="171"/>
      <c r="CM125" s="171"/>
      <c r="CN125" s="171"/>
      <c r="CO125" s="171"/>
      <c r="CP125" s="171"/>
      <c r="CQ125" s="171"/>
      <c r="CR125" s="171"/>
      <c r="CS125" s="171"/>
      <c r="CT125" s="171"/>
      <c r="CU125" s="171"/>
      <c r="CV125" s="171"/>
      <c r="CW125" s="171"/>
      <c r="CX125" s="171"/>
      <c r="CY125" s="171"/>
      <c r="CZ125" s="171"/>
      <c r="DA125" s="171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3" t="str">
        <f>IF(LEN(TRIM('5 Доп сведения'!C7))=0," ",'5 Доп сведения'!C7)</f>
        <v xml:space="preserve"> </v>
      </c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42"/>
      <c r="BB126" s="42"/>
      <c r="BC126" s="42"/>
      <c r="BD126" s="42"/>
      <c r="BE126" s="164" t="str">
        <f>Диплом!B7</f>
        <v>XXXX/Б24</v>
      </c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  <c r="BQ126" s="164"/>
      <c r="BR126" s="164"/>
      <c r="BS126" s="164"/>
      <c r="BT126" s="164"/>
      <c r="BU126" s="41"/>
      <c r="BV126" s="41"/>
      <c r="BW126" s="171"/>
      <c r="BX126" s="171"/>
      <c r="BY126" s="171"/>
      <c r="BZ126" s="171"/>
      <c r="CA126" s="171"/>
      <c r="CB126" s="171"/>
      <c r="CC126" s="171"/>
      <c r="CD126" s="171"/>
      <c r="CE126" s="171"/>
      <c r="CF126" s="171"/>
      <c r="CG126" s="171"/>
      <c r="CH126" s="171"/>
      <c r="CI126" s="171"/>
      <c r="CJ126" s="171"/>
      <c r="CK126" s="171"/>
      <c r="CL126" s="171"/>
      <c r="CM126" s="171"/>
      <c r="CN126" s="171"/>
      <c r="CO126" s="171"/>
      <c r="CP126" s="171"/>
      <c r="CQ126" s="171"/>
      <c r="CR126" s="171"/>
      <c r="CS126" s="171"/>
      <c r="CT126" s="171"/>
      <c r="CU126" s="171"/>
      <c r="CV126" s="171"/>
      <c r="CW126" s="171"/>
      <c r="CX126" s="171"/>
      <c r="CY126" s="171"/>
      <c r="CZ126" s="171"/>
      <c r="DA126" s="171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42"/>
      <c r="BB127" s="42"/>
      <c r="BC127" s="42"/>
      <c r="BD127" s="42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  <c r="BQ127" s="164"/>
      <c r="BR127" s="164"/>
      <c r="BS127" s="164"/>
      <c r="BT127" s="164"/>
      <c r="BU127" s="41"/>
      <c r="BV127" s="41"/>
      <c r="BW127" s="171" t="str">
        <f>IF(LEN(TRIM('1 Обладатель диплома'!B15))=0," ",'1 Обладатель диплома'!B15)</f>
        <v>(протокол № ___ от «XX» июня 2024 г.)</v>
      </c>
      <c r="BX127" s="171"/>
      <c r="BY127" s="171"/>
      <c r="BZ127" s="171"/>
      <c r="CA127" s="171"/>
      <c r="CB127" s="171"/>
      <c r="CC127" s="171"/>
      <c r="CD127" s="171"/>
      <c r="CE127" s="171"/>
      <c r="CF127" s="171"/>
      <c r="CG127" s="171"/>
      <c r="CH127" s="171"/>
      <c r="CI127" s="171"/>
      <c r="CJ127" s="171"/>
      <c r="CK127" s="171"/>
      <c r="CL127" s="171"/>
      <c r="CM127" s="171"/>
      <c r="CN127" s="171"/>
      <c r="CO127" s="171"/>
      <c r="CP127" s="171"/>
      <c r="CQ127" s="171"/>
      <c r="CR127" s="171"/>
      <c r="CS127" s="171"/>
      <c r="CT127" s="171"/>
      <c r="CU127" s="171"/>
      <c r="CV127" s="171"/>
      <c r="CW127" s="171"/>
      <c r="CX127" s="171"/>
      <c r="CY127" s="171"/>
      <c r="CZ127" s="171"/>
      <c r="DA127" s="171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3" t="str">
        <f>IF(LEN(TRIM('5 Доп сведения'!C8))=0," ",'5 Доп сведения'!C8)</f>
        <v xml:space="preserve"> </v>
      </c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42"/>
      <c r="BB128" s="42"/>
      <c r="BC128" s="42"/>
      <c r="BD128" s="42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  <c r="BQ128" s="164"/>
      <c r="BR128" s="164"/>
      <c r="BS128" s="164"/>
      <c r="BT128" s="164"/>
      <c r="BU128" s="30"/>
      <c r="BV128" s="30"/>
      <c r="BW128" s="171"/>
      <c r="BX128" s="171"/>
      <c r="BY128" s="171"/>
      <c r="BZ128" s="171"/>
      <c r="CA128" s="171"/>
      <c r="CB128" s="171"/>
      <c r="CC128" s="171"/>
      <c r="CD128" s="171"/>
      <c r="CE128" s="171"/>
      <c r="CF128" s="171"/>
      <c r="CG128" s="171"/>
      <c r="CH128" s="171"/>
      <c r="CI128" s="171"/>
      <c r="CJ128" s="171"/>
      <c r="CK128" s="171"/>
      <c r="CL128" s="171"/>
      <c r="CM128" s="171"/>
      <c r="CN128" s="171"/>
      <c r="CO128" s="171"/>
      <c r="CP128" s="171"/>
      <c r="CQ128" s="171"/>
      <c r="CR128" s="171"/>
      <c r="CS128" s="171"/>
      <c r="CT128" s="171"/>
      <c r="CU128" s="171"/>
      <c r="CV128" s="171"/>
      <c r="CW128" s="171"/>
      <c r="CX128" s="171"/>
      <c r="CY128" s="171"/>
      <c r="CZ128" s="171"/>
      <c r="DA128" s="171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42"/>
      <c r="BB129" s="42"/>
      <c r="BC129" s="42"/>
      <c r="BD129" s="42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30"/>
      <c r="BV129" s="30"/>
      <c r="BW129" s="171"/>
      <c r="BX129" s="171"/>
      <c r="BY129" s="171"/>
      <c r="BZ129" s="171"/>
      <c r="CA129" s="171"/>
      <c r="CB129" s="171"/>
      <c r="CC129" s="171"/>
      <c r="CD129" s="171"/>
      <c r="CE129" s="171"/>
      <c r="CF129" s="171"/>
      <c r="CG129" s="171"/>
      <c r="CH129" s="171"/>
      <c r="CI129" s="171"/>
      <c r="CJ129" s="171"/>
      <c r="CK129" s="171"/>
      <c r="CL129" s="171"/>
      <c r="CM129" s="171"/>
      <c r="CN129" s="171"/>
      <c r="CO129" s="171"/>
      <c r="CP129" s="171"/>
      <c r="CQ129" s="171"/>
      <c r="CR129" s="171"/>
      <c r="CS129" s="171"/>
      <c r="CT129" s="171"/>
      <c r="CU129" s="171"/>
      <c r="CV129" s="171"/>
      <c r="CW129" s="171"/>
      <c r="CX129" s="171"/>
      <c r="CY129" s="171"/>
      <c r="CZ129" s="171"/>
      <c r="DA129" s="171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3" t="str">
        <f>IF(LEN(TRIM('5 Доп сведения'!C9))=0," ",'5 Доп сведения'!C9)</f>
        <v xml:space="preserve"> 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44"/>
      <c r="BB130" s="44"/>
      <c r="BC130" s="44"/>
      <c r="BD130" s="4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30"/>
      <c r="BV130" s="30"/>
      <c r="BW130" s="171"/>
      <c r="BX130" s="171"/>
      <c r="BY130" s="171"/>
      <c r="BZ130" s="171"/>
      <c r="CA130" s="171"/>
      <c r="CB130" s="171"/>
      <c r="CC130" s="171"/>
      <c r="CD130" s="171"/>
      <c r="CE130" s="171"/>
      <c r="CF130" s="171"/>
      <c r="CG130" s="171"/>
      <c r="CH130" s="171"/>
      <c r="CI130" s="171"/>
      <c r="CJ130" s="171"/>
      <c r="CK130" s="171"/>
      <c r="CL130" s="171"/>
      <c r="CM130" s="171"/>
      <c r="CN130" s="171"/>
      <c r="CO130" s="171"/>
      <c r="CP130" s="171"/>
      <c r="CQ130" s="171"/>
      <c r="CR130" s="171"/>
      <c r="CS130" s="171"/>
      <c r="CT130" s="171"/>
      <c r="CU130" s="171"/>
      <c r="CV130" s="171"/>
      <c r="CW130" s="171"/>
      <c r="CX130" s="171"/>
      <c r="CY130" s="171"/>
      <c r="CZ130" s="171"/>
      <c r="DA130" s="171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3" t="str">
        <f>IF(LEN(TRIM('5 Доп сведения'!C10))=0," ",'5 Доп сведения'!C10)</f>
        <v xml:space="preserve"> </v>
      </c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3" t="str">
        <f>IF(LEN(TRIM('5 Доп сведения'!C11))=0," ",'5 Доп сведения'!C11)</f>
        <v xml:space="preserve"> </v>
      </c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3" t="str">
        <f>IF(LEN(TRIM('5 Доп сведения'!C12))=0," ",'5 Доп сведения'!C12)</f>
        <v xml:space="preserve"> </v>
      </c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3" t="str">
        <f>IF(LEN(TRIM('5 Доп сведения'!C13))=0," ",'5 Доп сведения'!C13)</f>
        <v xml:space="preserve"> </v>
      </c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3" t="str">
        <f>IF(LEN(TRIM('5 Доп сведения'!C14))=0," ",'5 Доп сведения'!C14)</f>
        <v xml:space="preserve"> </v>
      </c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4" t="str">
        <f>Диплом!B8</f>
        <v>XX июня 2024 года</v>
      </c>
      <c r="BF144" s="164"/>
      <c r="BG144" s="164"/>
      <c r="BH144" s="164"/>
      <c r="BI144" s="164"/>
      <c r="BJ144" s="164"/>
      <c r="BK144" s="164"/>
      <c r="BL144" s="164"/>
      <c r="BM144" s="164"/>
      <c r="BN144" s="164"/>
      <c r="BO144" s="164"/>
      <c r="BP144" s="164"/>
      <c r="BQ144" s="164"/>
      <c r="BR144" s="164"/>
      <c r="BS144" s="164"/>
      <c r="BT144" s="164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4"/>
      <c r="BF145" s="164"/>
      <c r="BG145" s="164"/>
      <c r="BH145" s="164"/>
      <c r="BI145" s="164"/>
      <c r="BJ145" s="164"/>
      <c r="BK145" s="164"/>
      <c r="BL145" s="164"/>
      <c r="BM145" s="164"/>
      <c r="BN145" s="164"/>
      <c r="BO145" s="164"/>
      <c r="BP145" s="164"/>
      <c r="BQ145" s="164"/>
      <c r="BR145" s="164"/>
      <c r="BS145" s="164"/>
      <c r="BT145" s="164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4"/>
      <c r="BF146" s="164"/>
      <c r="BG146" s="164"/>
      <c r="BH146" s="164"/>
      <c r="BI146" s="164"/>
      <c r="BJ146" s="164"/>
      <c r="BK146" s="164"/>
      <c r="BL146" s="164"/>
      <c r="BM146" s="164"/>
      <c r="BN146" s="164"/>
      <c r="BO146" s="164"/>
      <c r="BP146" s="164"/>
      <c r="BQ146" s="164"/>
      <c r="BR146" s="164"/>
      <c r="BS146" s="164"/>
      <c r="BT146" s="164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4"/>
      <c r="BF147" s="164"/>
      <c r="BG147" s="164"/>
      <c r="BH147" s="164"/>
      <c r="BI147" s="164"/>
      <c r="BJ147" s="164"/>
      <c r="BK147" s="164"/>
      <c r="BL147" s="164"/>
      <c r="BM147" s="164"/>
      <c r="BN147" s="164"/>
      <c r="BO147" s="164"/>
      <c r="BP147" s="164"/>
      <c r="BQ147" s="164"/>
      <c r="BR147" s="164"/>
      <c r="BS147" s="164"/>
      <c r="BT147" s="164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4">
    <mergeCell ref="C88:AZ90"/>
    <mergeCell ref="C91:AZ93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view="pageBreakPreview" topLeftCell="A41" zoomScaleNormal="90" zoomScaleSheetLayoutView="100" workbookViewId="0">
      <selection activeCell="B32" sqref="B32:P32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4" t="str">
        <f>IF(LEN(TRIM('3 Освоение программы'!B67))=0," ",'3 Освоение программы'!B67)</f>
        <v>Дисциплина 66</v>
      </c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173" t="str">
        <f>IF(LEN(TRIM('3 Освоение программы'!D67))=0," ",'3 Освоение программы'!D67)</f>
        <v>оценка</v>
      </c>
      <c r="AW13" s="173"/>
      <c r="AX13" s="173"/>
      <c r="AY13" s="173"/>
      <c r="AZ13" s="173"/>
      <c r="BA13" s="173"/>
      <c r="BB13" s="173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4" t="str">
        <f>IF(LEN(TRIM('3 Освоение программы'!B68))=0," ",'3 Освоение программы'!B68)</f>
        <v>Дисциплина 67</v>
      </c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173" t="str">
        <f>IF(LEN(TRIM('3 Освоение программы'!D68))=0," ",'3 Освоение программы'!D68)</f>
        <v>оценка</v>
      </c>
      <c r="AW14" s="173"/>
      <c r="AX14" s="173"/>
      <c r="AY14" s="173"/>
      <c r="AZ14" s="173"/>
      <c r="BA14" s="173"/>
      <c r="BB14" s="173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4" t="str">
        <f>IF(LEN(TRIM('3 Освоение программы'!B69))=0," ",'3 Освоение программы'!B69)</f>
        <v>Дисциплина 68</v>
      </c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173" t="str">
        <f>IF(LEN(TRIM('3 Освоение программы'!D69))=0," ",'3 Освоение программы'!D69)</f>
        <v>оценка</v>
      </c>
      <c r="AW15" s="173"/>
      <c r="AX15" s="173"/>
      <c r="AY15" s="173"/>
      <c r="AZ15" s="173"/>
      <c r="BA15" s="173"/>
      <c r="BB15" s="173"/>
      <c r="BC15" s="27"/>
    </row>
    <row r="16" spans="1:55" ht="9.9499999999999993" customHeight="1" x14ac:dyDescent="0.25">
      <c r="A16" s="91"/>
      <c r="B16" s="175" t="str">
        <f>IF(LEN(TRIM('3 Освоение программы'!B2))=0," ",'3 Освоение программы'!B2)</f>
        <v>Дисциплина 1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2" t="str">
        <f>IF(LEN(TRIM('3 Освоение программы'!C2))=0," ",'3 Освоение программы'!C2)</f>
        <v>?? з.е.</v>
      </c>
      <c r="R16" s="172"/>
      <c r="S16" s="172"/>
      <c r="T16" s="172"/>
      <c r="U16" s="138"/>
      <c r="V16" s="172" t="str">
        <f>IF(LEN(TRIM('3 Освоение программы'!D2))=0," ",'3 Освоение программы'!D2)</f>
        <v>оценка</v>
      </c>
      <c r="W16" s="172"/>
      <c r="X16" s="172"/>
      <c r="Y16" s="172"/>
      <c r="Z16" s="172"/>
      <c r="AA16" s="138"/>
      <c r="AB16" s="90"/>
      <c r="AC16" s="90"/>
      <c r="AD16" s="90"/>
      <c r="AE16" s="174" t="str">
        <f>IF(LEN(TRIM('3 Освоение программы'!B70))=0," ",'3 Освоение программы'!B70)</f>
        <v>Дисциплина 69</v>
      </c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173" t="str">
        <f>IF(LEN(TRIM('3 Освоение программы'!D70))=0," ",'3 Освоение программы'!D70)</f>
        <v>оценка</v>
      </c>
      <c r="AW16" s="173"/>
      <c r="AX16" s="173"/>
      <c r="AY16" s="173"/>
      <c r="AZ16" s="173"/>
      <c r="BA16" s="173"/>
      <c r="BB16" s="173"/>
      <c r="BC16" s="27"/>
    </row>
    <row r="17" spans="1:55" ht="9.9499999999999993" customHeight="1" x14ac:dyDescent="0.25">
      <c r="A17" s="91"/>
      <c r="B17" s="175" t="str">
        <f>IF(LEN(TRIM('3 Освоение программы'!B3))=0," ",'3 Освоение программы'!B3)</f>
        <v>Дисциплина 2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2" t="str">
        <f>IF(LEN(TRIM('3 Освоение программы'!C3))=0," ",'3 Освоение программы'!C3)</f>
        <v>?? з.е.</v>
      </c>
      <c r="R17" s="172"/>
      <c r="S17" s="172"/>
      <c r="T17" s="172"/>
      <c r="U17" s="138"/>
      <c r="V17" s="172" t="str">
        <f>IF(LEN(TRIM('3 Освоение программы'!D3))=0," ",'3 Освоение программы'!D3)</f>
        <v>оценка</v>
      </c>
      <c r="W17" s="172"/>
      <c r="X17" s="172"/>
      <c r="Y17" s="172"/>
      <c r="Z17" s="172"/>
      <c r="AA17" s="90"/>
      <c r="AB17" s="90"/>
      <c r="AC17" s="90"/>
      <c r="AD17" s="90"/>
      <c r="AE17" s="174" t="str">
        <f>IF(LEN(TRIM('3 Освоение программы'!B71))=0," ",'3 Освоение программы'!B71)</f>
        <v>Дисциплина 70</v>
      </c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173" t="str">
        <f>IF(LEN(TRIM('3 Освоение программы'!D71))=0," ",'3 Освоение программы'!D71)</f>
        <v>оценка</v>
      </c>
      <c r="AW17" s="173"/>
      <c r="AX17" s="173"/>
      <c r="AY17" s="173"/>
      <c r="AZ17" s="173"/>
      <c r="BA17" s="173"/>
      <c r="BB17" s="173"/>
      <c r="BC17" s="27"/>
    </row>
    <row r="18" spans="1:55" ht="9.9499999999999993" customHeight="1" x14ac:dyDescent="0.25">
      <c r="A18" s="91"/>
      <c r="B18" s="175" t="str">
        <f>IF(LEN(TRIM('3 Освоение программы'!B4))=0," ",'3 Освоение программы'!B4)</f>
        <v>Дисциплина 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2" t="str">
        <f>IF(LEN(TRIM('3 Освоение программы'!C4))=0," ",'3 Освоение программы'!C4)</f>
        <v>?? з.е.</v>
      </c>
      <c r="R18" s="172"/>
      <c r="S18" s="172"/>
      <c r="T18" s="172"/>
      <c r="U18" s="138"/>
      <c r="V18" s="172" t="str">
        <f>IF(LEN(TRIM('3 Освоение программы'!D4))=0," ",'3 Освоение программы'!D4)</f>
        <v>оценка</v>
      </c>
      <c r="W18" s="172"/>
      <c r="X18" s="172"/>
      <c r="Y18" s="172"/>
      <c r="Z18" s="172"/>
      <c r="AA18" s="90"/>
      <c r="AB18" s="90"/>
      <c r="AC18" s="90"/>
      <c r="AD18" s="90"/>
      <c r="AE18" s="174" t="str">
        <f>IF(LEN(TRIM('3 Освоение программы'!B72))=0," ",'3 Освоение программы'!B72)</f>
        <v>Практики</v>
      </c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173" t="str">
        <f>IF(LEN(TRIM('3 Освоение программы'!D72))=0," ",'3 Освоение программы'!D72)</f>
        <v>x</v>
      </c>
      <c r="AW18" s="173"/>
      <c r="AX18" s="173"/>
      <c r="AY18" s="173"/>
      <c r="AZ18" s="173"/>
      <c r="BA18" s="173"/>
      <c r="BB18" s="173"/>
      <c r="BC18" s="27"/>
    </row>
    <row r="19" spans="1:55" ht="9.9499999999999993" customHeight="1" x14ac:dyDescent="0.25">
      <c r="A19" s="91"/>
      <c r="B19" s="175" t="str">
        <f>IF(LEN(TRIM('3 Освоение программы'!B5))=0," ",'3 Освоение программы'!B5)</f>
        <v>Дисциплина 4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2" t="str">
        <f>IF(LEN(TRIM('3 Освоение программы'!C5))=0," ",'3 Освоение программы'!C5)</f>
        <v>?? з.е.</v>
      </c>
      <c r="R19" s="172"/>
      <c r="S19" s="172"/>
      <c r="T19" s="172"/>
      <c r="U19" s="138"/>
      <c r="V19" s="172" t="str">
        <f>IF(LEN(TRIM('3 Освоение программы'!D5))=0," ",'3 Освоение программы'!D5)</f>
        <v>оценка</v>
      </c>
      <c r="W19" s="172"/>
      <c r="X19" s="172"/>
      <c r="Y19" s="172"/>
      <c r="Z19" s="172"/>
      <c r="AA19" s="90"/>
      <c r="AB19" s="90"/>
      <c r="AC19" s="90"/>
      <c r="AD19" s="90"/>
      <c r="AE19" s="174" t="str">
        <f>IF(LEN(TRIM('3 Освоение программы'!B73))=0," ",'3 Освоение программы'!B73)</f>
        <v>в том числе:</v>
      </c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173" t="str">
        <f>IF(LEN(TRIM('3 Освоение программы'!D73))=0," ",'3 Освоение программы'!D73)</f>
        <v xml:space="preserve"> </v>
      </c>
      <c r="AW19" s="173"/>
      <c r="AX19" s="173"/>
      <c r="AY19" s="173"/>
      <c r="AZ19" s="173"/>
      <c r="BA19" s="173"/>
      <c r="BB19" s="173"/>
      <c r="BC19" s="27"/>
    </row>
    <row r="20" spans="1:55" ht="9.9499999999999993" customHeight="1" x14ac:dyDescent="0.25">
      <c r="A20" s="91"/>
      <c r="B20" s="175" t="str">
        <f>IF(LEN(TRIM('3 Освоение программы'!B6))=0," ",'3 Освоение программы'!B6)</f>
        <v>Дисциплина 5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2" t="str">
        <f>IF(LEN(TRIM('3 Освоение программы'!C6))=0," ",'3 Освоение программы'!C6)</f>
        <v>?? з.е.</v>
      </c>
      <c r="R20" s="172"/>
      <c r="S20" s="172"/>
      <c r="T20" s="172"/>
      <c r="U20" s="138"/>
      <c r="V20" s="172" t="str">
        <f>IF(LEN(TRIM('3 Освоение программы'!D6))=0," ",'3 Освоение программы'!D6)</f>
        <v>оценка</v>
      </c>
      <c r="W20" s="172"/>
      <c r="X20" s="172"/>
      <c r="Y20" s="172"/>
      <c r="Z20" s="172"/>
      <c r="AA20" s="90"/>
      <c r="AB20" s="90"/>
      <c r="AC20" s="90"/>
      <c r="AD20" s="90"/>
      <c r="AE20" s="174" t="str">
        <f>IF(LEN(TRIM('3 Освоение программы'!B74))=0," ",'3 Освоение программы'!B74)</f>
        <v>Вид практики, тип практики</v>
      </c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173" t="str">
        <f>IF(LEN(TRIM('3 Освоение программы'!D74))=0," ",'3 Освоение программы'!D74)</f>
        <v>оценка</v>
      </c>
      <c r="AW20" s="173"/>
      <c r="AX20" s="173"/>
      <c r="AY20" s="173"/>
      <c r="AZ20" s="173"/>
      <c r="BA20" s="173"/>
      <c r="BB20" s="173"/>
      <c r="BC20" s="27"/>
    </row>
    <row r="21" spans="1:55" ht="9.9499999999999993" customHeight="1" x14ac:dyDescent="0.25">
      <c r="A21" s="91"/>
      <c r="B21" s="175" t="str">
        <f>IF(LEN(TRIM('3 Освоение программы'!B7))=0," ",'3 Освоение программы'!B7)</f>
        <v>Дисциплина 6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2" t="str">
        <f>IF(LEN(TRIM('3 Освоение программы'!C7))=0," ",'3 Освоение программы'!C7)</f>
        <v>?? з.е.</v>
      </c>
      <c r="R21" s="172"/>
      <c r="S21" s="172"/>
      <c r="T21" s="172"/>
      <c r="U21" s="138"/>
      <c r="V21" s="172" t="str">
        <f>IF(LEN(TRIM('3 Освоение программы'!D7))=0," ",'3 Освоение программы'!D7)</f>
        <v>оценка</v>
      </c>
      <c r="W21" s="172"/>
      <c r="X21" s="172"/>
      <c r="Y21" s="172"/>
      <c r="Z21" s="172"/>
      <c r="AA21" s="90"/>
      <c r="AB21" s="90"/>
      <c r="AC21" s="90"/>
      <c r="AD21" s="90"/>
      <c r="AE21" s="174" t="str">
        <f>IF(LEN(TRIM('3 Освоение программы'!B75))=0," ",'3 Освоение программы'!B75)</f>
        <v>Вид практики, тип практики</v>
      </c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173" t="str">
        <f>IF(LEN(TRIM('3 Освоение программы'!D75))=0," ",'3 Освоение программы'!D75)</f>
        <v>оценка</v>
      </c>
      <c r="AW21" s="173"/>
      <c r="AX21" s="173"/>
      <c r="AY21" s="173"/>
      <c r="AZ21" s="173"/>
      <c r="BA21" s="173"/>
      <c r="BB21" s="173"/>
      <c r="BC21" s="27"/>
    </row>
    <row r="22" spans="1:55" ht="9.9499999999999993" customHeight="1" x14ac:dyDescent="0.25">
      <c r="A22" s="91"/>
      <c r="B22" s="175" t="str">
        <f>IF(LEN(TRIM('3 Освоение программы'!B8))=0," ",'3 Освоение программы'!B8)</f>
        <v>Дисциплина 7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2" t="str">
        <f>IF(LEN(TRIM('3 Освоение программы'!C8))=0," ",'3 Освоение программы'!C8)</f>
        <v>?? з.е.</v>
      </c>
      <c r="R22" s="172"/>
      <c r="S22" s="172"/>
      <c r="T22" s="172"/>
      <c r="U22" s="138"/>
      <c r="V22" s="172" t="str">
        <f>IF(LEN(TRIM('3 Освоение программы'!D8))=0," ",'3 Освоение программы'!D8)</f>
        <v>оценка</v>
      </c>
      <c r="W22" s="172"/>
      <c r="X22" s="172"/>
      <c r="Y22" s="172"/>
      <c r="Z22" s="172"/>
      <c r="AA22" s="90"/>
      <c r="AB22" s="90"/>
      <c r="AC22" s="90"/>
      <c r="AD22" s="90"/>
      <c r="AE22" s="174" t="str">
        <f>IF(LEN(TRIM('3 Освоение программы'!B76))=0," ",'3 Освоение программы'!B76)</f>
        <v>Вид практики, тип практики</v>
      </c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173" t="str">
        <f>IF(LEN(TRIM('3 Освоение программы'!D76))=0," ",'3 Освоение программы'!D76)</f>
        <v>оценка</v>
      </c>
      <c r="AW22" s="173"/>
      <c r="AX22" s="173"/>
      <c r="AY22" s="173"/>
      <c r="AZ22" s="173"/>
      <c r="BA22" s="173"/>
      <c r="BB22" s="173"/>
      <c r="BC22" s="27"/>
    </row>
    <row r="23" spans="1:55" ht="9.9499999999999993" customHeight="1" x14ac:dyDescent="0.25">
      <c r="A23" s="91"/>
      <c r="B23" s="175" t="str">
        <f>IF(LEN(TRIM('3 Освоение программы'!B9))=0," ",'3 Освоение программы'!B9)</f>
        <v>Дисциплина 8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2" t="str">
        <f>IF(LEN(TRIM('3 Освоение программы'!C9))=0," ",'3 Освоение программы'!C9)</f>
        <v>?? з.е.</v>
      </c>
      <c r="R23" s="172"/>
      <c r="S23" s="172"/>
      <c r="T23" s="172"/>
      <c r="U23" s="138"/>
      <c r="V23" s="172" t="str">
        <f>IF(LEN(TRIM('3 Освоение программы'!D9))=0," ",'3 Освоение программы'!D9)</f>
        <v>оценка</v>
      </c>
      <c r="W23" s="172"/>
      <c r="X23" s="172"/>
      <c r="Y23" s="172"/>
      <c r="Z23" s="172"/>
      <c r="AA23" s="90"/>
      <c r="AB23" s="90"/>
      <c r="AC23" s="90"/>
      <c r="AD23" s="90"/>
      <c r="AE23" s="174" t="str">
        <f>IF(LEN(TRIM('3 Освоение программы'!B77))=0," ",'3 Освоение программы'!B77)</f>
        <v>Вид практики, тип практики</v>
      </c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173" t="str">
        <f>IF(LEN(TRIM('3 Освоение программы'!D77))=0," ",'3 Освоение программы'!D77)</f>
        <v>оценка</v>
      </c>
      <c r="AW23" s="173"/>
      <c r="AX23" s="173"/>
      <c r="AY23" s="173"/>
      <c r="AZ23" s="173"/>
      <c r="BA23" s="173"/>
      <c r="BB23" s="173"/>
      <c r="BC23" s="27"/>
    </row>
    <row r="24" spans="1:55" ht="9.9499999999999993" customHeight="1" x14ac:dyDescent="0.25">
      <c r="A24" s="91"/>
      <c r="B24" s="175" t="str">
        <f>IF(LEN(TRIM('3 Освоение программы'!B10))=0," ",'3 Освоение программы'!B10)</f>
        <v>Дисциплина 9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2" t="str">
        <f>IF(LEN(TRIM('3 Освоение программы'!C10))=0," ",'3 Освоение программы'!C10)</f>
        <v>?? з.е.</v>
      </c>
      <c r="R24" s="172"/>
      <c r="S24" s="172"/>
      <c r="T24" s="172"/>
      <c r="U24" s="138"/>
      <c r="V24" s="172" t="str">
        <f>IF(LEN(TRIM('3 Освоение программы'!D10))=0," ",'3 Освоение программы'!D10)</f>
        <v>оценка</v>
      </c>
      <c r="W24" s="172"/>
      <c r="X24" s="172"/>
      <c r="Y24" s="172"/>
      <c r="Z24" s="172"/>
      <c r="AA24" s="90"/>
      <c r="AB24" s="90"/>
      <c r="AC24" s="90"/>
      <c r="AD24" s="90"/>
      <c r="AE24" s="174" t="str">
        <f>IF(LEN(TRIM('3 Освоение программы'!B78))=0," ",'3 Освоение программы'!B78)</f>
        <v>Вид практики, тип практики</v>
      </c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173" t="str">
        <f>IF(LEN(TRIM('3 Освоение программы'!D78))=0," ",'3 Освоение программы'!D78)</f>
        <v>оценка</v>
      </c>
      <c r="AW24" s="173"/>
      <c r="AX24" s="173"/>
      <c r="AY24" s="173"/>
      <c r="AZ24" s="173"/>
      <c r="BA24" s="173"/>
      <c r="BB24" s="173"/>
      <c r="BC24" s="27"/>
    </row>
    <row r="25" spans="1:55" ht="9.9499999999999993" customHeight="1" x14ac:dyDescent="0.25">
      <c r="A25" s="91"/>
      <c r="B25" s="175" t="str">
        <f>IF(LEN(TRIM('3 Освоение программы'!B11))=0," ",'3 Освоение программы'!B11)</f>
        <v>Дисциплина 10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2" t="str">
        <f>IF(LEN(TRIM('3 Освоение программы'!C11))=0," ",'3 Освоение программы'!C11)</f>
        <v>?? з.е.</v>
      </c>
      <c r="R25" s="172"/>
      <c r="S25" s="172"/>
      <c r="T25" s="172"/>
      <c r="U25" s="138"/>
      <c r="V25" s="172" t="str">
        <f>IF(LEN(TRIM('3 Освоение программы'!D11))=0," ",'3 Освоение программы'!D11)</f>
        <v>оценка</v>
      </c>
      <c r="W25" s="172"/>
      <c r="X25" s="172"/>
      <c r="Y25" s="172"/>
      <c r="Z25" s="172"/>
      <c r="AA25" s="90"/>
      <c r="AB25" s="90"/>
      <c r="AC25" s="90"/>
      <c r="AD25" s="90"/>
      <c r="AE25" s="174" t="str">
        <f>IF(LEN(TRIM('3 Освоение программы'!B79))=0," ",'3 Освоение программы'!B79)</f>
        <v>Государственная итоговая аттестация</v>
      </c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173" t="str">
        <f>IF(LEN(TRIM('3 Освоение программы'!D79))=0," ",'3 Освоение программы'!D79)</f>
        <v>х</v>
      </c>
      <c r="AW25" s="173"/>
      <c r="AX25" s="173"/>
      <c r="AY25" s="173"/>
      <c r="AZ25" s="173"/>
      <c r="BA25" s="173"/>
      <c r="BB25" s="173"/>
      <c r="BC25" s="27"/>
    </row>
    <row r="26" spans="1:55" ht="9.9499999999999993" customHeight="1" x14ac:dyDescent="0.25">
      <c r="A26" s="91"/>
      <c r="B26" s="175" t="str">
        <f>IF(LEN(TRIM('3 Освоение программы'!B12))=0," ",'3 Освоение программы'!B12)</f>
        <v>Дисциплина 11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2" t="str">
        <f>IF(LEN(TRIM('3 Освоение программы'!C12))=0," ",'3 Освоение программы'!C12)</f>
        <v>?? з.е.</v>
      </c>
      <c r="R26" s="172"/>
      <c r="S26" s="172"/>
      <c r="T26" s="172"/>
      <c r="U26" s="138"/>
      <c r="V26" s="172" t="str">
        <f>IF(LEN(TRIM('3 Освоение программы'!D12))=0," ",'3 Освоение программы'!D12)</f>
        <v>оценка</v>
      </c>
      <c r="W26" s="172"/>
      <c r="X26" s="172"/>
      <c r="Y26" s="172"/>
      <c r="Z26" s="172"/>
      <c r="AA26" s="90"/>
      <c r="AB26" s="90"/>
      <c r="AC26" s="90"/>
      <c r="AD26" s="90"/>
      <c r="AE26" s="174" t="str">
        <f>IF(LEN(TRIM('3 Освоение программы'!B80))=0," ",'3 Освоение программы'!B80)</f>
        <v>в том числе:</v>
      </c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173" t="str">
        <f>IF(LEN(TRIM('3 Освоение программы'!D80))=0," ",'3 Освоение программы'!D80)</f>
        <v xml:space="preserve"> </v>
      </c>
      <c r="AW26" s="173"/>
      <c r="AX26" s="173"/>
      <c r="AY26" s="173"/>
      <c r="AZ26" s="173"/>
      <c r="BA26" s="173"/>
      <c r="BB26" s="173"/>
      <c r="BC26" s="27"/>
    </row>
    <row r="27" spans="1:55" ht="9.9499999999999993" customHeight="1" x14ac:dyDescent="0.25">
      <c r="A27" s="91"/>
      <c r="B27" s="175" t="str">
        <f>IF(LEN(TRIM('3 Освоение программы'!B13))=0," ",'3 Освоение программы'!B13)</f>
        <v>Дисциплина 12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2" t="str">
        <f>IF(LEN(TRIM('3 Освоение программы'!C13))=0," ",'3 Освоение программы'!C13)</f>
        <v>?? з.е.</v>
      </c>
      <c r="R27" s="172"/>
      <c r="S27" s="172"/>
      <c r="T27" s="172"/>
      <c r="U27" s="138"/>
      <c r="V27" s="172" t="str">
        <f>IF(LEN(TRIM('3 Освоение программы'!D13))=0," ",'3 Освоение программы'!D13)</f>
        <v>оценка</v>
      </c>
      <c r="W27" s="172"/>
      <c r="X27" s="172"/>
      <c r="Y27" s="172"/>
      <c r="Z27" s="172"/>
      <c r="AA27" s="90"/>
      <c r="AB27" s="90"/>
      <c r="AC27" s="90"/>
      <c r="AD27" s="90"/>
      <c r="AE27" s="17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173" t="str">
        <f>IF(LEN(TRIM('3 Освоение программы'!D81))=0," ",'3 Освоение программы'!D81)</f>
        <v xml:space="preserve"> </v>
      </c>
      <c r="AW27" s="173"/>
      <c r="AX27" s="173"/>
      <c r="AY27" s="173"/>
      <c r="AZ27" s="173"/>
      <c r="BA27" s="173"/>
      <c r="BB27" s="173"/>
      <c r="BC27" s="27"/>
    </row>
    <row r="28" spans="1:55" ht="9.9499999999999993" customHeight="1" x14ac:dyDescent="0.25">
      <c r="A28" s="91"/>
      <c r="B28" s="175" t="str">
        <f>IF(LEN(TRIM('3 Освоение программы'!B14))=0," ",'3 Освоение программы'!B14)</f>
        <v>Дисциплина 13</v>
      </c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2" t="str">
        <f>IF(LEN(TRIM('3 Освоение программы'!C14))=0," ",'3 Освоение программы'!C14)</f>
        <v>?? з.е.</v>
      </c>
      <c r="R28" s="172"/>
      <c r="S28" s="172"/>
      <c r="T28" s="172"/>
      <c r="U28" s="138"/>
      <c r="V28" s="172" t="str">
        <f>IF(LEN(TRIM('3 Освоение программы'!D14))=0," ",'3 Освоение программы'!D14)</f>
        <v>оценка</v>
      </c>
      <c r="W28" s="172"/>
      <c r="X28" s="172"/>
      <c r="Y28" s="172"/>
      <c r="Z28" s="172"/>
      <c r="AA28" s="90"/>
      <c r="AB28" s="90"/>
      <c r="AC28" s="90"/>
      <c r="AD28" s="90"/>
      <c r="AE28" s="174" t="str">
        <f>IF(LEN(TRIM('3 Освоение программы'!B82))=0," ",'3 Освоение программы'!B82)</f>
        <v>"Субъективное благополучие отстающих в обучении</v>
      </c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173" t="str">
        <f>IF(LEN(TRIM('3 Освоение программы'!D82))=0," ",'3 Освоение программы'!D82)</f>
        <v xml:space="preserve"> </v>
      </c>
      <c r="AW28" s="173"/>
      <c r="AX28" s="173"/>
      <c r="AY28" s="173"/>
      <c r="AZ28" s="173"/>
      <c r="BA28" s="173"/>
      <c r="BB28" s="173"/>
      <c r="BC28" s="27"/>
    </row>
    <row r="29" spans="1:55" ht="9.9499999999999993" customHeight="1" x14ac:dyDescent="0.25">
      <c r="A29" s="91"/>
      <c r="B29" s="175" t="str">
        <f>IF(LEN(TRIM('3 Освоение программы'!B15))=0," ",'3 Освоение программы'!B15)</f>
        <v>Дисциплина 14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2" t="str">
        <f>IF(LEN(TRIM('3 Освоение программы'!C15))=0," ",'3 Освоение программы'!C15)</f>
        <v>?? з.е.</v>
      </c>
      <c r="R29" s="172"/>
      <c r="S29" s="172"/>
      <c r="T29" s="172"/>
      <c r="U29" s="138"/>
      <c r="V29" s="172" t="str">
        <f>IF(LEN(TRIM('3 Освоение программы'!D15))=0," ",'3 Освоение программы'!D15)</f>
        <v>оценка</v>
      </c>
      <c r="W29" s="172"/>
      <c r="X29" s="172"/>
      <c r="Y29" s="172"/>
      <c r="Z29" s="172"/>
      <c r="AA29" s="90"/>
      <c r="AB29" s="90"/>
      <c r="AC29" s="90"/>
      <c r="AD29" s="90"/>
      <c r="AE29" s="174" t="str">
        <f>IF(LEN(TRIM('3 Освоение программы'!B83))=0," ",'3 Освоение программы'!B83)</f>
        <v>младших школьников"</v>
      </c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173" t="str">
        <f>IF(LEN(TRIM('3 Освоение программы'!D83))=0," ",'3 Освоение программы'!D83)</f>
        <v>оценка</v>
      </c>
      <c r="AW29" s="173"/>
      <c r="AX29" s="173"/>
      <c r="AY29" s="173"/>
      <c r="AZ29" s="173"/>
      <c r="BA29" s="173"/>
      <c r="BB29" s="173"/>
      <c r="BC29" s="27"/>
    </row>
    <row r="30" spans="1:55" ht="9.9499999999999993" customHeight="1" x14ac:dyDescent="0.25">
      <c r="A30" s="91"/>
      <c r="B30" s="175" t="str">
        <f>IF(LEN(TRIM('3 Освоение программы'!B16))=0," ",'3 Освоение программы'!B16)</f>
        <v>Дисциплина 15</v>
      </c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2" t="str">
        <f>IF(LEN(TRIM('3 Освоение программы'!C16))=0," ",'3 Освоение программы'!C16)</f>
        <v>?? з.е.</v>
      </c>
      <c r="R30" s="172"/>
      <c r="S30" s="172"/>
      <c r="T30" s="172"/>
      <c r="U30" s="138"/>
      <c r="V30" s="172" t="str">
        <f>IF(LEN(TRIM('3 Освоение программы'!D16))=0," ",'3 Освоение программы'!D16)</f>
        <v>оценка</v>
      </c>
      <c r="W30" s="172"/>
      <c r="X30" s="172"/>
      <c r="Y30" s="172"/>
      <c r="Z30" s="172"/>
      <c r="AA30" s="90"/>
      <c r="AB30" s="90"/>
      <c r="AC30" s="90"/>
      <c r="AD30" s="90"/>
      <c r="AE30" s="174" t="str">
        <f>IF(LEN(TRIM('3 Освоение программы'!B84))=0," ",'3 Освоение программы'!B84)</f>
        <v>Объем образовательной программы</v>
      </c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173" t="str">
        <f>IF(LEN(TRIM('3 Освоение программы'!D84))=0," ",'3 Освоение программы'!D84)</f>
        <v>х</v>
      </c>
      <c r="AW30" s="173"/>
      <c r="AX30" s="173"/>
      <c r="AY30" s="173"/>
      <c r="AZ30" s="173"/>
      <c r="BA30" s="173"/>
      <c r="BB30" s="173"/>
      <c r="BC30" s="27"/>
    </row>
    <row r="31" spans="1:55" ht="9.9499999999999993" customHeight="1" x14ac:dyDescent="0.25">
      <c r="A31" s="91"/>
      <c r="B31" s="175" t="str">
        <f>IF(LEN(TRIM('3 Освоение программы'!B17))=0," ",'3 Освоение программы'!B17)</f>
        <v>Дисциплина 16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2" t="str">
        <f>IF(LEN(TRIM('3 Освоение программы'!C17))=0," ",'3 Освоение программы'!C17)</f>
        <v>?? з.е.</v>
      </c>
      <c r="R31" s="172"/>
      <c r="S31" s="172"/>
      <c r="T31" s="172"/>
      <c r="U31" s="138"/>
      <c r="V31" s="172" t="str">
        <f>IF(LEN(TRIM('3 Освоение программы'!D17))=0," ",'3 Освоение программы'!D17)</f>
        <v>оценка</v>
      </c>
      <c r="W31" s="172"/>
      <c r="X31" s="172"/>
      <c r="Y31" s="172"/>
      <c r="Z31" s="172"/>
      <c r="AA31" s="90"/>
      <c r="AB31" s="90"/>
      <c r="AC31" s="90"/>
      <c r="AD31" s="90"/>
      <c r="AE31" s="17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173" t="str">
        <f>IF(LEN(TRIM('3 Освоение программы'!D85))=0," ",'3 Освоение программы'!D85)</f>
        <v xml:space="preserve"> </v>
      </c>
      <c r="AW31" s="173"/>
      <c r="AX31" s="173"/>
      <c r="AY31" s="173"/>
      <c r="AZ31" s="173"/>
      <c r="BA31" s="173"/>
      <c r="BB31" s="173"/>
      <c r="BC31" s="27"/>
    </row>
    <row r="32" spans="1:55" ht="9.9499999999999993" customHeight="1" x14ac:dyDescent="0.25">
      <c r="A32" s="91"/>
      <c r="B32" s="175" t="str">
        <f>IF(LEN(TRIM('3 Освоение программы'!B18))=0," ",'3 Освоение программы'!B18)</f>
        <v>Дисциплина 17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2" t="str">
        <f>IF(LEN(TRIM('3 Освоение программы'!C18))=0," ",'3 Освоение программы'!C18)</f>
        <v>?? з.е.</v>
      </c>
      <c r="R32" s="172"/>
      <c r="S32" s="172"/>
      <c r="T32" s="172"/>
      <c r="U32" s="138"/>
      <c r="V32" s="172" t="str">
        <f>IF(LEN(TRIM('3 Освоение программы'!D18))=0," ",'3 Освоение программы'!D18)</f>
        <v>оценка</v>
      </c>
      <c r="W32" s="172"/>
      <c r="X32" s="172"/>
      <c r="Y32" s="172"/>
      <c r="Z32" s="172"/>
      <c r="AA32" s="90"/>
      <c r="AB32" s="90"/>
      <c r="AC32" s="90"/>
      <c r="AD32" s="90"/>
      <c r="AE32" s="17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173" t="str">
        <f>IF(LEN(TRIM('3 Освоение программы'!D86))=0," ",'3 Освоение программы'!D86)</f>
        <v>х</v>
      </c>
      <c r="AW32" s="173"/>
      <c r="AX32" s="173"/>
      <c r="AY32" s="173"/>
      <c r="AZ32" s="173"/>
      <c r="BA32" s="173"/>
      <c r="BB32" s="173"/>
      <c r="BC32" s="27"/>
    </row>
    <row r="33" spans="1:55" ht="9.9499999999999993" customHeight="1" x14ac:dyDescent="0.25">
      <c r="A33" s="91"/>
      <c r="B33" s="175" t="str">
        <f>IF(LEN(TRIM('3 Освоение программы'!B19))=0," ",'3 Освоение программы'!B19)</f>
        <v>Дисциплина 18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2" t="str">
        <f>IF(LEN(TRIM('3 Освоение программы'!C19))=0," ",'3 Освоение программы'!C19)</f>
        <v>?? з.е.</v>
      </c>
      <c r="R33" s="172"/>
      <c r="S33" s="172"/>
      <c r="T33" s="172"/>
      <c r="U33" s="138"/>
      <c r="V33" s="172" t="str">
        <f>IF(LEN(TRIM('3 Освоение программы'!D19))=0," ",'3 Освоение программы'!D19)</f>
        <v>оценка</v>
      </c>
      <c r="W33" s="172"/>
      <c r="X33" s="172"/>
      <c r="Y33" s="172"/>
      <c r="Z33" s="172"/>
      <c r="AA33" s="90"/>
      <c r="AB33" s="90"/>
      <c r="AC33" s="90"/>
      <c r="AD33" s="90"/>
      <c r="AE33" s="17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173" t="str">
        <f>IF(LEN(TRIM('3 Освоение программы'!D87))=0," ",'3 Освоение программы'!D87)</f>
        <v xml:space="preserve"> </v>
      </c>
      <c r="AW33" s="173"/>
      <c r="AX33" s="173"/>
      <c r="AY33" s="173"/>
      <c r="AZ33" s="173"/>
      <c r="BA33" s="173"/>
      <c r="BB33" s="173"/>
      <c r="BC33" s="27"/>
    </row>
    <row r="34" spans="1:55" ht="9.9499999999999993" customHeight="1" x14ac:dyDescent="0.25">
      <c r="A34" s="91"/>
      <c r="B34" s="175" t="str">
        <f>IF(LEN(TRIM('3 Освоение программы'!B20))=0," ",'3 Освоение программы'!B20)</f>
        <v>Дисциплина 19</v>
      </c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2" t="str">
        <f>IF(LEN(TRIM('3 Освоение программы'!C20))=0," ",'3 Освоение программы'!C20)</f>
        <v>?? з.е.</v>
      </c>
      <c r="R34" s="172"/>
      <c r="S34" s="172"/>
      <c r="T34" s="172"/>
      <c r="U34" s="138"/>
      <c r="V34" s="172" t="str">
        <f>IF(LEN(TRIM('3 Освоение программы'!D20))=0," ",'3 Освоение программы'!D20)</f>
        <v>оценка</v>
      </c>
      <c r="W34" s="172"/>
      <c r="X34" s="172"/>
      <c r="Y34" s="172"/>
      <c r="Z34" s="172"/>
      <c r="AA34" s="90"/>
      <c r="AB34" s="90"/>
      <c r="AC34" s="90"/>
      <c r="AD34" s="90"/>
      <c r="AE34" s="174" t="str">
        <f>IF(LEN(TRIM('3 Освоение программы'!B88))=0," ",'3 Освоение программы'!B88)</f>
        <v>тема курсовой работы"</v>
      </c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173" t="str">
        <f>IF(LEN(TRIM('3 Освоение программы'!D88))=0," ",'3 Освоение программы'!D88)</f>
        <v>оценка</v>
      </c>
      <c r="AW34" s="173"/>
      <c r="AX34" s="173"/>
      <c r="AY34" s="173"/>
      <c r="AZ34" s="173"/>
      <c r="BA34" s="173"/>
      <c r="BB34" s="173"/>
      <c r="BC34" s="27"/>
    </row>
    <row r="35" spans="1:55" ht="9.9499999999999993" customHeight="1" x14ac:dyDescent="0.25">
      <c r="A35" s="91"/>
      <c r="B35" s="175" t="str">
        <f>IF(LEN(TRIM('3 Освоение программы'!B21))=0," ",'3 Освоение программы'!B21)</f>
        <v>Дисциплина 20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2" t="str">
        <f>IF(LEN(TRIM('3 Освоение программы'!C21))=0," ",'3 Освоение программы'!C21)</f>
        <v>?? з.е.</v>
      </c>
      <c r="R35" s="172"/>
      <c r="S35" s="172"/>
      <c r="T35" s="172"/>
      <c r="U35" s="138"/>
      <c r="V35" s="172" t="str">
        <f>IF(LEN(TRIM('3 Освоение программы'!D21))=0," ",'3 Освоение программы'!D21)</f>
        <v>оценка</v>
      </c>
      <c r="W35" s="172"/>
      <c r="X35" s="172"/>
      <c r="Y35" s="172"/>
      <c r="Z35" s="172"/>
      <c r="AA35" s="90"/>
      <c r="AB35" s="90"/>
      <c r="AC35" s="90"/>
      <c r="AD35" s="90"/>
      <c r="AE35" s="17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173" t="str">
        <f>IF(LEN(TRIM('3 Освоение программы'!D89))=0," ",'3 Освоение программы'!D89)</f>
        <v xml:space="preserve"> </v>
      </c>
      <c r="AW35" s="173"/>
      <c r="AX35" s="173"/>
      <c r="AY35" s="173"/>
      <c r="AZ35" s="173"/>
      <c r="BA35" s="173"/>
      <c r="BB35" s="173"/>
      <c r="BC35" s="27"/>
    </row>
    <row r="36" spans="1:55" ht="9.9499999999999993" customHeight="1" x14ac:dyDescent="0.25">
      <c r="A36" s="91"/>
      <c r="B36" s="175" t="str">
        <f>IF(LEN(TRIM('3 Освоение программы'!B22))=0," ",'3 Освоение программы'!B22)</f>
        <v>Дисциплина 21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2" t="str">
        <f>IF(LEN(TRIM('3 Освоение программы'!C22))=0," ",'3 Освоение программы'!C22)</f>
        <v>?? з.е.</v>
      </c>
      <c r="R36" s="172"/>
      <c r="S36" s="172"/>
      <c r="T36" s="172"/>
      <c r="U36" s="138"/>
      <c r="V36" s="172" t="str">
        <f>IF(LEN(TRIM('3 Освоение программы'!D22))=0," ",'3 Освоение программы'!D22)</f>
        <v>оценка</v>
      </c>
      <c r="W36" s="172"/>
      <c r="X36" s="172"/>
      <c r="Y36" s="172"/>
      <c r="Z36" s="172"/>
      <c r="AA36" s="90"/>
      <c r="AB36" s="90"/>
      <c r="AC36" s="90"/>
      <c r="AD36" s="90"/>
      <c r="AE36" s="174" t="str">
        <f>IF(LEN(TRIM('3 Освоение программы'!B90))=0," ",'3 Освоение программы'!B90)</f>
        <v>тема курсовой работы"</v>
      </c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173" t="str">
        <f>IF(LEN(TRIM('3 Освоение программы'!D90))=0," ",'3 Освоение программы'!D90)</f>
        <v>оценка</v>
      </c>
      <c r="AW36" s="173"/>
      <c r="AX36" s="173"/>
      <c r="AY36" s="173"/>
      <c r="AZ36" s="173"/>
      <c r="BA36" s="173"/>
      <c r="BB36" s="173"/>
      <c r="BC36" s="27"/>
    </row>
    <row r="37" spans="1:55" ht="9.9499999999999993" customHeight="1" x14ac:dyDescent="0.25">
      <c r="A37" s="91"/>
      <c r="B37" s="175" t="str">
        <f>IF(LEN(TRIM('3 Освоение программы'!B23))=0," ",'3 Освоение программы'!B23)</f>
        <v>Дисциплина 22</v>
      </c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2" t="str">
        <f>IF(LEN(TRIM('3 Освоение программы'!C23))=0," ",'3 Освоение программы'!C23)</f>
        <v>?? з.е.</v>
      </c>
      <c r="R37" s="172"/>
      <c r="S37" s="172"/>
      <c r="T37" s="172"/>
      <c r="U37" s="138"/>
      <c r="V37" s="172" t="str">
        <f>IF(LEN(TRIM('3 Освоение программы'!D23))=0," ",'3 Освоение программы'!D23)</f>
        <v>оценка</v>
      </c>
      <c r="W37" s="172"/>
      <c r="X37" s="172"/>
      <c r="Y37" s="172"/>
      <c r="Z37" s="172"/>
      <c r="AA37" s="90"/>
      <c r="AB37" s="90"/>
      <c r="AC37" s="90"/>
      <c r="AD37" s="90"/>
      <c r="AE37" s="174" t="str">
        <f>IF(LEN(TRIM('3 Освоение программы'!B91))=0," ",'3 Освоение программы'!B91)</f>
        <v>Факультативные дисциплины (модули)</v>
      </c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173" t="str">
        <f>IF(LEN(TRIM('3 Освоение программы'!D91))=0," ",'3 Освоение программы'!D91)</f>
        <v xml:space="preserve"> </v>
      </c>
      <c r="AW37" s="173"/>
      <c r="AX37" s="173"/>
      <c r="AY37" s="173"/>
      <c r="AZ37" s="173"/>
      <c r="BA37" s="173"/>
      <c r="BB37" s="173"/>
      <c r="BC37" s="27"/>
    </row>
    <row r="38" spans="1:55" ht="9.9499999999999993" customHeight="1" x14ac:dyDescent="0.25">
      <c r="A38" s="91"/>
      <c r="B38" s="175" t="str">
        <f>IF(LEN(TRIM('3 Освоение программы'!B24))=0," ",'3 Освоение программы'!B24)</f>
        <v>Дисциплина 23</v>
      </c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2" t="str">
        <f>IF(LEN(TRIM('3 Освоение программы'!C24))=0," ",'3 Освоение программы'!C24)</f>
        <v>?? з.е.</v>
      </c>
      <c r="R38" s="172"/>
      <c r="S38" s="172"/>
      <c r="T38" s="172"/>
      <c r="U38" s="138"/>
      <c r="V38" s="172" t="str">
        <f>IF(LEN(TRIM('3 Освоение программы'!D24))=0," ",'3 Освоение программы'!D24)</f>
        <v>оценка</v>
      </c>
      <c r="W38" s="172"/>
      <c r="X38" s="172"/>
      <c r="Y38" s="172"/>
      <c r="Z38" s="172"/>
      <c r="AA38" s="90"/>
      <c r="AB38" s="90"/>
      <c r="AC38" s="90"/>
      <c r="AD38" s="90"/>
      <c r="AE38" s="174" t="str">
        <f>IF(LEN(TRIM('3 Освоение программы'!B92))=0," ",'3 Освоение программы'!B92)</f>
        <v>в том числе:</v>
      </c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173" t="str">
        <f>IF(LEN(TRIM('3 Освоение программы'!D92))=0," ",'3 Освоение программы'!D92)</f>
        <v xml:space="preserve"> </v>
      </c>
      <c r="AW38" s="173"/>
      <c r="AX38" s="173"/>
      <c r="AY38" s="173"/>
      <c r="AZ38" s="173"/>
      <c r="BA38" s="173"/>
      <c r="BB38" s="173"/>
      <c r="BC38" s="27"/>
    </row>
    <row r="39" spans="1:55" ht="9.9499999999999993" customHeight="1" x14ac:dyDescent="0.25">
      <c r="A39" s="91"/>
      <c r="B39" s="175" t="str">
        <f>IF(LEN(TRIM('3 Освоение программы'!B25))=0," ",'3 Освоение программы'!B25)</f>
        <v>Дисциплина 24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2" t="str">
        <f>IF(LEN(TRIM('3 Освоение программы'!C25))=0," ",'3 Освоение программы'!C25)</f>
        <v>?? з.е.</v>
      </c>
      <c r="R39" s="172"/>
      <c r="S39" s="172"/>
      <c r="T39" s="172"/>
      <c r="U39" s="138"/>
      <c r="V39" s="172" t="str">
        <f>IF(LEN(TRIM('3 Освоение программы'!D25))=0," ",'3 Освоение программы'!D25)</f>
        <v>оценка</v>
      </c>
      <c r="W39" s="172"/>
      <c r="X39" s="172"/>
      <c r="Y39" s="172"/>
      <c r="Z39" s="172"/>
      <c r="AA39" s="90"/>
      <c r="AB39" s="90"/>
      <c r="AC39" s="90"/>
      <c r="AD39" s="90"/>
      <c r="AE39" s="174" t="str">
        <f>IF(LEN(TRIM('3 Освоение программы'!B93))=0," ",'3 Освоение программы'!B93)</f>
        <v>Повышение спортивного мастерства</v>
      </c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173" t="str">
        <f>IF(LEN(TRIM('3 Освоение программы'!D93))=0," ",'3 Освоение программы'!D93)</f>
        <v>зачтено</v>
      </c>
      <c r="AW39" s="173"/>
      <c r="AX39" s="173"/>
      <c r="AY39" s="173"/>
      <c r="AZ39" s="173"/>
      <c r="BA39" s="173"/>
      <c r="BB39" s="173"/>
      <c r="BC39" s="27"/>
    </row>
    <row r="40" spans="1:55" ht="9.9499999999999993" customHeight="1" x14ac:dyDescent="0.25">
      <c r="A40" s="91"/>
      <c r="B40" s="175" t="str">
        <f>IF(LEN(TRIM('3 Освоение программы'!B26))=0," ",'3 Освоение программы'!B26)</f>
        <v>Дисциплина 25</v>
      </c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2" t="str">
        <f>IF(LEN(TRIM('3 Освоение программы'!C26))=0," ",'3 Освоение программы'!C26)</f>
        <v>?? з.е.</v>
      </c>
      <c r="R40" s="172"/>
      <c r="S40" s="172"/>
      <c r="T40" s="172"/>
      <c r="U40" s="138"/>
      <c r="V40" s="172" t="str">
        <f>IF(LEN(TRIM('3 Освоение программы'!D26))=0," ",'3 Освоение программы'!D26)</f>
        <v>оценка</v>
      </c>
      <c r="W40" s="172"/>
      <c r="X40" s="172"/>
      <c r="Y40" s="172"/>
      <c r="Z40" s="172"/>
      <c r="AA40" s="90"/>
      <c r="AB40" s="90"/>
      <c r="AC40" s="90"/>
      <c r="AD40" s="90"/>
      <c r="AE40" s="174" t="str">
        <f>IF(LEN(TRIM('3 Освоение программы'!B94))=0," ",'3 Освоение программы'!B94)</f>
        <v xml:space="preserve"> </v>
      </c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173" t="str">
        <f>IF(LEN(TRIM('3 Освоение программы'!D94))=0," ",'3 Освоение программы'!D94)</f>
        <v xml:space="preserve"> </v>
      </c>
      <c r="AW40" s="173"/>
      <c r="AX40" s="173"/>
      <c r="AY40" s="173"/>
      <c r="AZ40" s="173"/>
      <c r="BA40" s="173"/>
      <c r="BB40" s="173"/>
      <c r="BC40" s="27"/>
    </row>
    <row r="41" spans="1:55" ht="9.9499999999999993" customHeight="1" x14ac:dyDescent="0.25">
      <c r="A41" s="91"/>
      <c r="B41" s="175" t="str">
        <f>IF(LEN(TRIM('3 Освоение программы'!B27))=0," ",'3 Освоение программы'!B27)</f>
        <v>Дисциплина 26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2" t="str">
        <f>IF(LEN(TRIM('3 Освоение программы'!C27))=0," ",'3 Освоение программы'!C27)</f>
        <v>?? з.е.</v>
      </c>
      <c r="R41" s="172"/>
      <c r="S41" s="172"/>
      <c r="T41" s="172"/>
      <c r="U41" s="138"/>
      <c r="V41" s="172" t="str">
        <f>IF(LEN(TRIM('3 Освоение программы'!D27))=0," ",'3 Освоение программы'!D27)</f>
        <v>оценка</v>
      </c>
      <c r="W41" s="172"/>
      <c r="X41" s="172"/>
      <c r="Y41" s="172"/>
      <c r="Z41" s="172"/>
      <c r="AA41" s="90"/>
      <c r="AB41" s="90"/>
      <c r="AC41" s="90"/>
      <c r="AD41" s="90"/>
      <c r="AE41" s="174" t="str">
        <f>IF(LEN(TRIM('3 Освоение программы'!B95))=0," ",'3 Освоение программы'!B95)</f>
        <v xml:space="preserve"> </v>
      </c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173" t="str">
        <f>IF(LEN(TRIM('3 Освоение программы'!D95))=0," ",'3 Освоение программы'!D95)</f>
        <v xml:space="preserve"> </v>
      </c>
      <c r="AW41" s="173"/>
      <c r="AX41" s="173"/>
      <c r="AY41" s="173"/>
      <c r="AZ41" s="173"/>
      <c r="BA41" s="173"/>
      <c r="BB41" s="173"/>
      <c r="BC41" s="27"/>
    </row>
    <row r="42" spans="1:55" ht="9.9499999999999993" customHeight="1" x14ac:dyDescent="0.25">
      <c r="A42" s="91"/>
      <c r="B42" s="175" t="str">
        <f>IF(LEN(TRIM('3 Освоение программы'!B28))=0," ",'3 Освоение программы'!B28)</f>
        <v>Дисциплина 27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2" t="str">
        <f>IF(LEN(TRIM('3 Освоение программы'!C28))=0," ",'3 Освоение программы'!C28)</f>
        <v>?? з.е.</v>
      </c>
      <c r="R42" s="172"/>
      <c r="S42" s="172"/>
      <c r="T42" s="172"/>
      <c r="U42" s="138"/>
      <c r="V42" s="172" t="str">
        <f>IF(LEN(TRIM('3 Освоение программы'!D28))=0," ",'3 Освоение программы'!D28)</f>
        <v>оценка</v>
      </c>
      <c r="W42" s="172"/>
      <c r="X42" s="172"/>
      <c r="Y42" s="172"/>
      <c r="Z42" s="172"/>
      <c r="AA42" s="90"/>
      <c r="AB42" s="90"/>
      <c r="AC42" s="90"/>
      <c r="AD42" s="90"/>
      <c r="AE42" s="174" t="str">
        <f>IF(LEN(TRIM('3 Освоение программы'!B96))=0," ",'3 Освоение программы'!B96)</f>
        <v xml:space="preserve"> </v>
      </c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173" t="str">
        <f>IF(LEN(TRIM('3 Освоение программы'!D96))=0," ",'3 Освоение программы'!D96)</f>
        <v xml:space="preserve"> </v>
      </c>
      <c r="AW42" s="173"/>
      <c r="AX42" s="173"/>
      <c r="AY42" s="173"/>
      <c r="AZ42" s="173"/>
      <c r="BA42" s="173"/>
      <c r="BB42" s="173"/>
      <c r="BC42" s="27"/>
    </row>
    <row r="43" spans="1:55" ht="9.9499999999999993" customHeight="1" x14ac:dyDescent="0.25">
      <c r="A43" s="91"/>
      <c r="B43" s="175" t="str">
        <f>IF(LEN(TRIM('3 Освоение программы'!B29))=0," ",'3 Освоение программы'!B29)</f>
        <v>Дисциплина 28</v>
      </c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2" t="str">
        <f>IF(LEN(TRIM('3 Освоение программы'!C29))=0," ",'3 Освоение программы'!C29)</f>
        <v>?? з.е.</v>
      </c>
      <c r="R43" s="172"/>
      <c r="S43" s="172"/>
      <c r="T43" s="172"/>
      <c r="U43" s="138"/>
      <c r="V43" s="172" t="str">
        <f>IF(LEN(TRIM('3 Освоение программы'!D29))=0," ",'3 Освоение программы'!D29)</f>
        <v>оценка</v>
      </c>
      <c r="W43" s="172"/>
      <c r="X43" s="172"/>
      <c r="Y43" s="172"/>
      <c r="Z43" s="172"/>
      <c r="AA43" s="90"/>
      <c r="AB43" s="90"/>
      <c r="AC43" s="90"/>
      <c r="AD43" s="90"/>
      <c r="AE43" s="174" t="str">
        <f>IF(LEN(TRIM('3 Освоение программы'!B97))=0," ",'3 Освоение программы'!B97)</f>
        <v xml:space="preserve"> </v>
      </c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173" t="str">
        <f>IF(LEN(TRIM('3 Освоение программы'!D97))=0," ",'3 Освоение программы'!D97)</f>
        <v xml:space="preserve"> </v>
      </c>
      <c r="AW43" s="173"/>
      <c r="AX43" s="173"/>
      <c r="AY43" s="173"/>
      <c r="AZ43" s="173"/>
      <c r="BA43" s="173"/>
      <c r="BB43" s="173"/>
      <c r="BC43" s="27"/>
    </row>
    <row r="44" spans="1:55" ht="9.9499999999999993" customHeight="1" x14ac:dyDescent="0.25">
      <c r="A44" s="91"/>
      <c r="B44" s="175" t="str">
        <f>IF(LEN(TRIM('3 Освоение программы'!B30))=0," ",'3 Освоение программы'!B30)</f>
        <v>Дисциплина 29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2" t="str">
        <f>IF(LEN(TRIM('3 Освоение программы'!C30))=0," ",'3 Освоение программы'!C30)</f>
        <v>?? з.е.</v>
      </c>
      <c r="R44" s="172"/>
      <c r="S44" s="172"/>
      <c r="T44" s="172"/>
      <c r="U44" s="138"/>
      <c r="V44" s="172" t="str">
        <f>IF(LEN(TRIM('3 Освоение программы'!D30))=0," ",'3 Освоение программы'!D30)</f>
        <v>оценка</v>
      </c>
      <c r="W44" s="172"/>
      <c r="X44" s="172"/>
      <c r="Y44" s="172"/>
      <c r="Z44" s="172"/>
      <c r="AA44" s="90"/>
      <c r="AB44" s="90"/>
      <c r="AC44" s="90"/>
      <c r="AD44" s="90"/>
      <c r="AE44" s="174" t="str">
        <f>IF(LEN(TRIM('3 Освоение программы'!B98))=0," ",'3 Освоение программы'!B98)</f>
        <v xml:space="preserve"> </v>
      </c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173" t="str">
        <f>IF(LEN(TRIM('3 Освоение программы'!D98))=0," ",'3 Освоение программы'!D98)</f>
        <v xml:space="preserve"> </v>
      </c>
      <c r="AW44" s="173"/>
      <c r="AX44" s="173"/>
      <c r="AY44" s="173"/>
      <c r="AZ44" s="173"/>
      <c r="BA44" s="173"/>
      <c r="BB44" s="173"/>
      <c r="BC44" s="27"/>
    </row>
    <row r="45" spans="1:55" ht="9.9499999999999993" customHeight="1" x14ac:dyDescent="0.25">
      <c r="A45" s="91"/>
      <c r="B45" s="175" t="str">
        <f>IF(LEN(TRIM('3 Освоение программы'!B31))=0," ",'3 Освоение программы'!B31)</f>
        <v>Дисциплина 30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2" t="str">
        <f>IF(LEN(TRIM('3 Освоение программы'!C31))=0," ",'3 Освоение программы'!C31)</f>
        <v>?? з.е.</v>
      </c>
      <c r="R45" s="172"/>
      <c r="S45" s="172"/>
      <c r="T45" s="172"/>
      <c r="U45" s="138"/>
      <c r="V45" s="172" t="str">
        <f>IF(LEN(TRIM('3 Освоение программы'!D31))=0," ",'3 Освоение программы'!D31)</f>
        <v>оценка</v>
      </c>
      <c r="W45" s="172"/>
      <c r="X45" s="172"/>
      <c r="Y45" s="172"/>
      <c r="Z45" s="172"/>
      <c r="AA45" s="90"/>
      <c r="AB45" s="90"/>
      <c r="AC45" s="90"/>
      <c r="AD45" s="90"/>
      <c r="AE45" s="174" t="str">
        <f>IF(LEN(TRIM('3 Освоение программы'!B99))=0," ",'3 Освоение программы'!B99)</f>
        <v xml:space="preserve"> </v>
      </c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173" t="str">
        <f>IF(LEN(TRIM('3 Освоение программы'!D99))=0," ",'3 Освоение программы'!D99)</f>
        <v xml:space="preserve"> </v>
      </c>
      <c r="AW45" s="173"/>
      <c r="AX45" s="173"/>
      <c r="AY45" s="173"/>
      <c r="AZ45" s="173"/>
      <c r="BA45" s="173"/>
      <c r="BB45" s="173"/>
      <c r="BC45" s="27"/>
    </row>
    <row r="46" spans="1:55" ht="9.9499999999999993" customHeight="1" x14ac:dyDescent="0.25">
      <c r="A46" s="91"/>
      <c r="B46" s="175" t="str">
        <f>IF(LEN(TRIM('3 Освоение программы'!B32))=0," ",'3 Освоение программы'!B32)</f>
        <v>Дисциплина 31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2" t="str">
        <f>IF(LEN(TRIM('3 Освоение программы'!C32))=0," ",'3 Освоение программы'!C32)</f>
        <v>?? з.е.</v>
      </c>
      <c r="R46" s="172"/>
      <c r="S46" s="172"/>
      <c r="T46" s="172"/>
      <c r="U46" s="138"/>
      <c r="V46" s="172" t="str">
        <f>IF(LEN(TRIM('3 Освоение программы'!D32))=0," ",'3 Освоение программы'!D32)</f>
        <v>оценка</v>
      </c>
      <c r="W46" s="172"/>
      <c r="X46" s="172"/>
      <c r="Y46" s="172"/>
      <c r="Z46" s="172"/>
      <c r="AA46" s="90"/>
      <c r="AB46" s="90"/>
      <c r="AC46" s="90"/>
      <c r="AD46" s="90"/>
      <c r="AE46" s="174" t="str">
        <f>IF(LEN(TRIM('3 Освоение программы'!B100))=0," ",'3 Освоение программы'!B100)</f>
        <v xml:space="preserve"> </v>
      </c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173" t="str">
        <f>IF(LEN(TRIM('3 Освоение программы'!D100))=0," ",'3 Освоение программы'!D100)</f>
        <v xml:space="preserve"> </v>
      </c>
      <c r="AW46" s="173"/>
      <c r="AX46" s="173"/>
      <c r="AY46" s="173"/>
      <c r="AZ46" s="173"/>
      <c r="BA46" s="173"/>
      <c r="BB46" s="173"/>
      <c r="BC46" s="27"/>
    </row>
    <row r="47" spans="1:55" ht="9.9499999999999993" customHeight="1" x14ac:dyDescent="0.25">
      <c r="A47" s="91"/>
      <c r="B47" s="175" t="str">
        <f>IF(LEN(TRIM('3 Освоение программы'!B33))=0," ",'3 Освоение программы'!B33)</f>
        <v>Дисциплина 32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2" t="str">
        <f>IF(LEN(TRIM('3 Освоение программы'!C33))=0," ",'3 Освоение программы'!C33)</f>
        <v>?? з.е.</v>
      </c>
      <c r="R47" s="172"/>
      <c r="S47" s="172"/>
      <c r="T47" s="172"/>
      <c r="U47" s="138"/>
      <c r="V47" s="172" t="str">
        <f>IF(LEN(TRIM('3 Освоение программы'!D33))=0," ",'3 Освоение программы'!D33)</f>
        <v>оценка</v>
      </c>
      <c r="W47" s="172"/>
      <c r="X47" s="172"/>
      <c r="Y47" s="172"/>
      <c r="Z47" s="172"/>
      <c r="AA47" s="90"/>
      <c r="AB47" s="90"/>
      <c r="AC47" s="90"/>
      <c r="AD47" s="90"/>
      <c r="AE47" s="174" t="str">
        <f>IF(LEN(TRIM('3 Освоение программы'!B101))=0," ",'3 Освоение программы'!B101)</f>
        <v xml:space="preserve"> </v>
      </c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173" t="str">
        <f>IF(LEN(TRIM('3 Освоение программы'!D101))=0," ",'3 Освоение программы'!D101)</f>
        <v xml:space="preserve"> </v>
      </c>
      <c r="AW47" s="173"/>
      <c r="AX47" s="173"/>
      <c r="AY47" s="173"/>
      <c r="AZ47" s="173"/>
      <c r="BA47" s="173"/>
      <c r="BB47" s="173"/>
      <c r="BC47" s="27"/>
    </row>
    <row r="48" spans="1:55" ht="9.9499999999999993" customHeight="1" x14ac:dyDescent="0.25">
      <c r="A48" s="91"/>
      <c r="B48" s="175" t="str">
        <f>IF(LEN(TRIM('3 Освоение программы'!B34))=0," ",'3 Освоение программы'!B34)</f>
        <v>Дисциплина 33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2" t="str">
        <f>IF(LEN(TRIM('3 Освоение программы'!C34))=0," ",'3 Освоение программы'!C34)</f>
        <v>?? з.е.</v>
      </c>
      <c r="R48" s="172"/>
      <c r="S48" s="172"/>
      <c r="T48" s="172"/>
      <c r="U48" s="138"/>
      <c r="V48" s="172" t="str">
        <f>IF(LEN(TRIM('3 Освоение программы'!D34))=0," ",'3 Освоение программы'!D34)</f>
        <v>оценка</v>
      </c>
      <c r="W48" s="172"/>
      <c r="X48" s="172"/>
      <c r="Y48" s="172"/>
      <c r="Z48" s="172"/>
      <c r="AA48" s="90"/>
      <c r="AB48" s="90"/>
      <c r="AC48" s="90"/>
      <c r="AD48" s="90"/>
      <c r="AE48" s="174" t="str">
        <f>IF(LEN(TRIM('3 Освоение программы'!B102))=0," ",'3 Освоение программы'!B102)</f>
        <v xml:space="preserve"> </v>
      </c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173" t="str">
        <f>IF(LEN(TRIM('3 Освоение программы'!D102))=0," ",'3 Освоение программы'!D102)</f>
        <v xml:space="preserve"> </v>
      </c>
      <c r="AW48" s="173"/>
      <c r="AX48" s="173"/>
      <c r="AY48" s="173"/>
      <c r="AZ48" s="173"/>
      <c r="BA48" s="173"/>
      <c r="BB48" s="173"/>
      <c r="BC48" s="27"/>
    </row>
    <row r="49" spans="1:55" ht="9.9499999999999993" customHeight="1" x14ac:dyDescent="0.25">
      <c r="A49" s="91"/>
      <c r="B49" s="175" t="str">
        <f>IF(LEN(TRIM('3 Освоение программы'!B35))=0," ",'3 Освоение программы'!B35)</f>
        <v>Дисциплина 34</v>
      </c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2" t="str">
        <f>IF(LEN(TRIM('3 Освоение программы'!C35))=0," ",'3 Освоение программы'!C35)</f>
        <v>?? з.е.</v>
      </c>
      <c r="R49" s="172"/>
      <c r="S49" s="172"/>
      <c r="T49" s="172"/>
      <c r="U49" s="138"/>
      <c r="V49" s="172" t="str">
        <f>IF(LEN(TRIM('3 Освоение программы'!D35))=0," ",'3 Освоение программы'!D35)</f>
        <v>оценка</v>
      </c>
      <c r="W49" s="172"/>
      <c r="X49" s="172"/>
      <c r="Y49" s="172"/>
      <c r="Z49" s="172"/>
      <c r="AA49" s="90"/>
      <c r="AB49" s="90"/>
      <c r="AC49" s="90"/>
      <c r="AD49" s="90"/>
      <c r="AE49" s="174" t="str">
        <f>IF(LEN(TRIM('3 Освоение программы'!B103))=0," ",'3 Освоение программы'!B103)</f>
        <v xml:space="preserve"> </v>
      </c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173" t="str">
        <f>IF(LEN(TRIM('3 Освоение программы'!D103))=0," ",'3 Освоение программы'!D103)</f>
        <v xml:space="preserve"> </v>
      </c>
      <c r="AW49" s="173"/>
      <c r="AX49" s="173"/>
      <c r="AY49" s="173"/>
      <c r="AZ49" s="173"/>
      <c r="BA49" s="173"/>
      <c r="BB49" s="173"/>
      <c r="BC49" s="27"/>
    </row>
    <row r="50" spans="1:55" ht="9.9499999999999993" customHeight="1" x14ac:dyDescent="0.25">
      <c r="A50" s="91"/>
      <c r="B50" s="175" t="str">
        <f>IF(LEN(TRIM('3 Освоение программы'!B36))=0," ",'3 Освоение программы'!B36)</f>
        <v>Дисциплина 35</v>
      </c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2" t="str">
        <f>IF(LEN(TRIM('3 Освоение программы'!C36))=0," ",'3 Освоение программы'!C36)</f>
        <v>?? з.е.</v>
      </c>
      <c r="R50" s="172"/>
      <c r="S50" s="172"/>
      <c r="T50" s="172"/>
      <c r="U50" s="138"/>
      <c r="V50" s="172" t="str">
        <f>IF(LEN(TRIM('3 Освоение программы'!D36))=0," ",'3 Освоение программы'!D36)</f>
        <v>оценка</v>
      </c>
      <c r="W50" s="172"/>
      <c r="X50" s="172"/>
      <c r="Y50" s="172"/>
      <c r="Z50" s="172"/>
      <c r="AA50" s="90"/>
      <c r="AB50" s="90"/>
      <c r="AC50" s="90"/>
      <c r="AD50" s="90"/>
      <c r="AE50" s="174" t="str">
        <f>IF(LEN(TRIM('3 Освоение программы'!B104))=0," ",'3 Освоение программы'!B104)</f>
        <v xml:space="preserve"> </v>
      </c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173" t="str">
        <f>IF(LEN(TRIM('3 Освоение программы'!D104))=0," ",'3 Освоение программы'!D104)</f>
        <v xml:space="preserve"> </v>
      </c>
      <c r="AW50" s="173"/>
      <c r="AX50" s="173"/>
      <c r="AY50" s="173"/>
      <c r="AZ50" s="173"/>
      <c r="BA50" s="173"/>
      <c r="BB50" s="173"/>
      <c r="BC50" s="27"/>
    </row>
    <row r="51" spans="1:55" ht="9.9499999999999993" customHeight="1" x14ac:dyDescent="0.25">
      <c r="A51" s="91"/>
      <c r="B51" s="175" t="str">
        <f>IF(LEN(TRIM('3 Освоение программы'!B37))=0," ",'3 Освоение программы'!B37)</f>
        <v>Дисциплина 36</v>
      </c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2" t="str">
        <f>IF(LEN(TRIM('3 Освоение программы'!C37))=0," ",'3 Освоение программы'!C37)</f>
        <v>?? з.е.</v>
      </c>
      <c r="R51" s="172"/>
      <c r="S51" s="172"/>
      <c r="T51" s="172"/>
      <c r="U51" s="138"/>
      <c r="V51" s="172" t="str">
        <f>IF(LEN(TRIM('3 Освоение программы'!D37))=0," ",'3 Освоение программы'!D37)</f>
        <v>оценка</v>
      </c>
      <c r="W51" s="172"/>
      <c r="X51" s="172"/>
      <c r="Y51" s="172"/>
      <c r="Z51" s="172"/>
      <c r="AA51" s="90"/>
      <c r="AB51" s="90"/>
      <c r="AC51" s="90"/>
      <c r="AD51" s="90"/>
      <c r="AE51" s="174" t="str">
        <f>IF(LEN(TRIM('3 Освоение программы'!B105))=0," ",'3 Освоение программы'!B105)</f>
        <v xml:space="preserve"> </v>
      </c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173" t="str">
        <f>IF(LEN(TRIM('3 Освоение программы'!D105))=0," ",'3 Освоение программы'!D105)</f>
        <v xml:space="preserve"> </v>
      </c>
      <c r="AW51" s="173"/>
      <c r="AX51" s="173"/>
      <c r="AY51" s="173"/>
      <c r="AZ51" s="173"/>
      <c r="BA51" s="173"/>
      <c r="BB51" s="173"/>
      <c r="BC51" s="27"/>
    </row>
    <row r="52" spans="1:55" ht="9.9499999999999993" customHeight="1" x14ac:dyDescent="0.25">
      <c r="A52" s="91"/>
      <c r="B52" s="175" t="str">
        <f>IF(LEN(TRIM('3 Освоение программы'!B38))=0," ",'3 Освоение программы'!B38)</f>
        <v>Дисциплина 37</v>
      </c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2" t="str">
        <f>IF(LEN(TRIM('3 Освоение программы'!C38))=0," ",'3 Освоение программы'!C38)</f>
        <v>?? з.е.</v>
      </c>
      <c r="R52" s="172"/>
      <c r="S52" s="172"/>
      <c r="T52" s="172"/>
      <c r="U52" s="138"/>
      <c r="V52" s="172" t="str">
        <f>IF(LEN(TRIM('3 Освоение программы'!D38))=0," ",'3 Освоение программы'!D38)</f>
        <v>оценка</v>
      </c>
      <c r="W52" s="172"/>
      <c r="X52" s="172"/>
      <c r="Y52" s="172"/>
      <c r="Z52" s="172"/>
      <c r="AA52" s="90"/>
      <c r="AB52" s="90"/>
      <c r="AC52" s="90"/>
      <c r="AD52" s="90"/>
      <c r="AE52" s="174" t="str">
        <f>IF(LEN(TRIM('3 Освоение программы'!B106))=0," ",'3 Освоение программы'!B106)</f>
        <v xml:space="preserve"> </v>
      </c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173" t="str">
        <f>IF(LEN(TRIM('3 Освоение программы'!D106))=0," ",'3 Освоение программы'!D106)</f>
        <v xml:space="preserve"> </v>
      </c>
      <c r="AW52" s="173"/>
      <c r="AX52" s="173"/>
      <c r="AY52" s="173"/>
      <c r="AZ52" s="173"/>
      <c r="BA52" s="173"/>
      <c r="BB52" s="173"/>
      <c r="BC52" s="27"/>
    </row>
    <row r="53" spans="1:55" ht="9.9499999999999993" customHeight="1" x14ac:dyDescent="0.25">
      <c r="A53" s="91"/>
      <c r="B53" s="175" t="str">
        <f>IF(LEN(TRIM('3 Освоение программы'!B39))=0," ",'3 Освоение программы'!B39)</f>
        <v>Дисциплина 38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2" t="str">
        <f>IF(LEN(TRIM('3 Освоение программы'!C39))=0," ",'3 Освоение программы'!C39)</f>
        <v>?? з.е.</v>
      </c>
      <c r="R53" s="172"/>
      <c r="S53" s="172"/>
      <c r="T53" s="172"/>
      <c r="U53" s="138"/>
      <c r="V53" s="172" t="str">
        <f>IF(LEN(TRIM('3 Освоение программы'!D39))=0," ",'3 Освоение программы'!D39)</f>
        <v>оценка</v>
      </c>
      <c r="W53" s="172"/>
      <c r="X53" s="172"/>
      <c r="Y53" s="172"/>
      <c r="Z53" s="172"/>
      <c r="AA53" s="90"/>
      <c r="AB53" s="90"/>
      <c r="AC53" s="90"/>
      <c r="AD53" s="90"/>
      <c r="AE53" s="174" t="str">
        <f>IF(LEN(TRIM('3 Освоение программы'!B107))=0," ",'3 Освоение программы'!B107)</f>
        <v xml:space="preserve"> </v>
      </c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173" t="str">
        <f>IF(LEN(TRIM('3 Освоение программы'!D107))=0," ",'3 Освоение программы'!D107)</f>
        <v xml:space="preserve"> </v>
      </c>
      <c r="AW53" s="173"/>
      <c r="AX53" s="173"/>
      <c r="AY53" s="173"/>
      <c r="AZ53" s="173"/>
      <c r="BA53" s="173"/>
      <c r="BB53" s="173"/>
      <c r="BC53" s="27"/>
    </row>
    <row r="54" spans="1:55" ht="9.9499999999999993" customHeight="1" x14ac:dyDescent="0.25">
      <c r="A54" s="91"/>
      <c r="B54" s="175" t="str">
        <f>IF(LEN(TRIM('3 Освоение программы'!B40))=0," ",'3 Освоение программы'!B40)</f>
        <v>Дисциплина 39</v>
      </c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2" t="str">
        <f>IF(LEN(TRIM('3 Освоение программы'!C40))=0," ",'3 Освоение программы'!C40)</f>
        <v>?? з.е.</v>
      </c>
      <c r="R54" s="172"/>
      <c r="S54" s="172"/>
      <c r="T54" s="172"/>
      <c r="U54" s="138"/>
      <c r="V54" s="172" t="str">
        <f>IF(LEN(TRIM('3 Освоение программы'!D40))=0," ",'3 Освоение программы'!D40)</f>
        <v>оценка</v>
      </c>
      <c r="W54" s="172"/>
      <c r="X54" s="172"/>
      <c r="Y54" s="172"/>
      <c r="Z54" s="172"/>
      <c r="AA54" s="90"/>
      <c r="AB54" s="90"/>
      <c r="AC54" s="90"/>
      <c r="AD54" s="90"/>
      <c r="AE54" s="174" t="str">
        <f>IF(LEN(TRIM('3 Освоение программы'!B108))=0," ",'3 Освоение программы'!B108)</f>
        <v xml:space="preserve"> </v>
      </c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173" t="str">
        <f>IF(LEN(TRIM('3 Освоение программы'!D108))=0," ",'3 Освоение программы'!D108)</f>
        <v xml:space="preserve"> </v>
      </c>
      <c r="AW54" s="173"/>
      <c r="AX54" s="173"/>
      <c r="AY54" s="173"/>
      <c r="AZ54" s="173"/>
      <c r="BA54" s="173"/>
      <c r="BB54" s="173"/>
      <c r="BC54" s="27"/>
    </row>
    <row r="55" spans="1:55" ht="9.9499999999999993" customHeight="1" x14ac:dyDescent="0.25">
      <c r="A55" s="91"/>
      <c r="B55" s="175" t="str">
        <f>IF(LEN(TRIM('3 Освоение программы'!B41))=0," ",'3 Освоение программы'!B41)</f>
        <v>Дисциплина 40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2" t="str">
        <f>IF(LEN(TRIM('3 Освоение программы'!C41))=0," ",'3 Освоение программы'!C41)</f>
        <v>?? з.е.</v>
      </c>
      <c r="R55" s="172"/>
      <c r="S55" s="172"/>
      <c r="T55" s="172"/>
      <c r="U55" s="138"/>
      <c r="V55" s="172" t="str">
        <f>IF(LEN(TRIM('3 Освоение программы'!D41))=0," ",'3 Освоение программы'!D41)</f>
        <v>оценка</v>
      </c>
      <c r="W55" s="172"/>
      <c r="X55" s="172"/>
      <c r="Y55" s="172"/>
      <c r="Z55" s="172"/>
      <c r="AA55" s="90"/>
      <c r="AB55" s="90"/>
      <c r="AC55" s="90"/>
      <c r="AD55" s="90"/>
      <c r="AE55" s="174" t="str">
        <f>IF(LEN(TRIM('3 Освоение программы'!B109))=0," ",'3 Освоение программы'!B109)</f>
        <v xml:space="preserve"> </v>
      </c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173" t="str">
        <f>IF(LEN(TRIM('3 Освоение программы'!D109))=0," ",'3 Освоение программы'!D109)</f>
        <v xml:space="preserve"> </v>
      </c>
      <c r="AW55" s="173"/>
      <c r="AX55" s="173"/>
      <c r="AY55" s="173"/>
      <c r="AZ55" s="173"/>
      <c r="BA55" s="173"/>
      <c r="BB55" s="173"/>
      <c r="BC55" s="27"/>
    </row>
    <row r="56" spans="1:55" ht="9.9499999999999993" customHeight="1" x14ac:dyDescent="0.25">
      <c r="A56" s="91"/>
      <c r="B56" s="175" t="str">
        <f>IF(LEN(TRIM('3 Освоение программы'!B42))=0," ",'3 Освоение программы'!B42)</f>
        <v>Дисциплина 41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2" t="str">
        <f>IF(LEN(TRIM('3 Освоение программы'!C42))=0," ",'3 Освоение программы'!C42)</f>
        <v>?? з.е.</v>
      </c>
      <c r="R56" s="172"/>
      <c r="S56" s="172"/>
      <c r="T56" s="172"/>
      <c r="U56" s="138"/>
      <c r="V56" s="172" t="str">
        <f>IF(LEN(TRIM('3 Освоение программы'!D42))=0," ",'3 Освоение программы'!D42)</f>
        <v>оценка</v>
      </c>
      <c r="W56" s="172"/>
      <c r="X56" s="172"/>
      <c r="Y56" s="172"/>
      <c r="Z56" s="172"/>
      <c r="AA56" s="90"/>
      <c r="AB56" s="90"/>
      <c r="AC56" s="90"/>
      <c r="AD56" s="90"/>
      <c r="AE56" s="174" t="str">
        <f>IF(LEN(TRIM('3 Освоение программы'!B110))=0," ",'3 Освоение программы'!B110)</f>
        <v xml:space="preserve"> </v>
      </c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173" t="str">
        <f>IF(LEN(TRIM('3 Освоение программы'!D110))=0," ",'3 Освоение программы'!D110)</f>
        <v xml:space="preserve"> </v>
      </c>
      <c r="AW56" s="173"/>
      <c r="AX56" s="173"/>
      <c r="AY56" s="173"/>
      <c r="AZ56" s="173"/>
      <c r="BA56" s="173"/>
      <c r="BB56" s="173"/>
      <c r="BC56" s="27"/>
    </row>
    <row r="57" spans="1:55" ht="9.9499999999999993" customHeight="1" x14ac:dyDescent="0.25">
      <c r="A57" s="91"/>
      <c r="B57" s="175" t="str">
        <f>IF(LEN(TRIM('3 Освоение программы'!B43))=0," ",'3 Освоение программы'!B43)</f>
        <v>Дисциплина 42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2" t="str">
        <f>IF(LEN(TRIM('3 Освоение программы'!C43))=0," ",'3 Освоение программы'!C43)</f>
        <v>?? з.е.</v>
      </c>
      <c r="R57" s="172"/>
      <c r="S57" s="172"/>
      <c r="T57" s="172"/>
      <c r="U57" s="138"/>
      <c r="V57" s="172" t="str">
        <f>IF(LEN(TRIM('3 Освоение программы'!D43))=0," ",'3 Освоение программы'!D43)</f>
        <v>оценка</v>
      </c>
      <c r="W57" s="172"/>
      <c r="X57" s="172"/>
      <c r="Y57" s="172"/>
      <c r="Z57" s="172"/>
      <c r="AA57" s="90"/>
      <c r="AB57" s="90"/>
      <c r="AC57" s="90"/>
      <c r="AD57" s="90"/>
      <c r="AE57" s="174" t="str">
        <f>IF(LEN(TRIM('3 Освоение программы'!B111))=0," ",'3 Освоение программы'!B111)</f>
        <v xml:space="preserve"> </v>
      </c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173" t="str">
        <f>IF(LEN(TRIM('3 Освоение программы'!D111))=0," ",'3 Освоение программы'!D111)</f>
        <v xml:space="preserve"> </v>
      </c>
      <c r="AW57" s="173"/>
      <c r="AX57" s="173"/>
      <c r="AY57" s="173"/>
      <c r="AZ57" s="173"/>
      <c r="BA57" s="173"/>
      <c r="BB57" s="173"/>
      <c r="BC57" s="27"/>
    </row>
    <row r="58" spans="1:55" ht="9.9499999999999993" customHeight="1" x14ac:dyDescent="0.25">
      <c r="A58" s="91"/>
      <c r="B58" s="175" t="str">
        <f>IF(LEN(TRIM('3 Освоение программы'!B44))=0," ",'3 Освоение программы'!B44)</f>
        <v>Дисциплина 43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2" t="str">
        <f>IF(LEN(TRIM('3 Освоение программы'!C44))=0," ",'3 Освоение программы'!C44)</f>
        <v>?? з.е.</v>
      </c>
      <c r="R58" s="172"/>
      <c r="S58" s="172"/>
      <c r="T58" s="172"/>
      <c r="U58" s="138"/>
      <c r="V58" s="172" t="str">
        <f>IF(LEN(TRIM('3 Освоение программы'!D44))=0," ",'3 Освоение программы'!D44)</f>
        <v>оценка</v>
      </c>
      <c r="W58" s="172"/>
      <c r="X58" s="172"/>
      <c r="Y58" s="172"/>
      <c r="Z58" s="172"/>
      <c r="AA58" s="90"/>
      <c r="AB58" s="90"/>
      <c r="AC58" s="90"/>
      <c r="AD58" s="90"/>
      <c r="AE58" s="174" t="str">
        <f>IF(LEN(TRIM('3 Освоение программы'!B112))=0," ",'3 Освоение программы'!B112)</f>
        <v xml:space="preserve"> </v>
      </c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173" t="str">
        <f>IF(LEN(TRIM('3 Освоение программы'!D112))=0," ",'3 Освоение программы'!D112)</f>
        <v xml:space="preserve"> </v>
      </c>
      <c r="AW58" s="173"/>
      <c r="AX58" s="173"/>
      <c r="AY58" s="173"/>
      <c r="AZ58" s="173"/>
      <c r="BA58" s="173"/>
      <c r="BB58" s="173"/>
      <c r="BC58" s="27"/>
    </row>
    <row r="59" spans="1:55" ht="9.9499999999999993" customHeight="1" x14ac:dyDescent="0.25">
      <c r="A59" s="91"/>
      <c r="B59" s="175" t="str">
        <f>IF(LEN(TRIM('3 Освоение программы'!B45))=0," ",'3 Освоение программы'!B45)</f>
        <v>Дисциплина 44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2" t="str">
        <f>IF(LEN(TRIM('3 Освоение программы'!C45))=0," ",'3 Освоение программы'!C45)</f>
        <v>?? з.е.</v>
      </c>
      <c r="R59" s="172"/>
      <c r="S59" s="172"/>
      <c r="T59" s="172"/>
      <c r="U59" s="138"/>
      <c r="V59" s="172" t="str">
        <f>IF(LEN(TRIM('3 Освоение программы'!D45))=0," ",'3 Освоение программы'!D45)</f>
        <v>оценка</v>
      </c>
      <c r="W59" s="172"/>
      <c r="X59" s="172"/>
      <c r="Y59" s="172"/>
      <c r="Z59" s="172"/>
      <c r="AA59" s="90"/>
      <c r="AB59" s="90"/>
      <c r="AC59" s="90"/>
      <c r="AD59" s="90"/>
      <c r="AE59" s="174" t="str">
        <f>IF(LEN(TRIM('3 Освоение программы'!B113))=0," ",'3 Освоение программы'!B113)</f>
        <v xml:space="preserve"> </v>
      </c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173" t="str">
        <f>IF(LEN(TRIM('3 Освоение программы'!D113))=0," ",'3 Освоение программы'!D113)</f>
        <v xml:space="preserve"> </v>
      </c>
      <c r="AW59" s="173"/>
      <c r="AX59" s="173"/>
      <c r="AY59" s="173"/>
      <c r="AZ59" s="173"/>
      <c r="BA59" s="173"/>
      <c r="BB59" s="173"/>
      <c r="BC59" s="27"/>
    </row>
    <row r="60" spans="1:55" ht="9.9499999999999993" customHeight="1" x14ac:dyDescent="0.25">
      <c r="A60" s="91"/>
      <c r="B60" s="175" t="str">
        <f>IF(LEN(TRIM('3 Освоение программы'!B46))=0," ",'3 Освоение программы'!B46)</f>
        <v>Дисциплина 45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2" t="str">
        <f>IF(LEN(TRIM('3 Освоение программы'!C46))=0," ",'3 Освоение программы'!C46)</f>
        <v>?? з.е.</v>
      </c>
      <c r="R60" s="172"/>
      <c r="S60" s="172"/>
      <c r="T60" s="172"/>
      <c r="U60" s="138"/>
      <c r="V60" s="172" t="str">
        <f>IF(LEN(TRIM('3 Освоение программы'!D46))=0," ",'3 Освоение программы'!D46)</f>
        <v>оценка</v>
      </c>
      <c r="W60" s="172"/>
      <c r="X60" s="172"/>
      <c r="Y60" s="172"/>
      <c r="Z60" s="172"/>
      <c r="AA60" s="90"/>
      <c r="AB60" s="90"/>
      <c r="AC60" s="90"/>
      <c r="AD60" s="90"/>
      <c r="AE60" s="174" t="str">
        <f>IF(LEN(TRIM('3 Освоение программы'!B114))=0," ",'3 Освоение программы'!B114)</f>
        <v xml:space="preserve"> </v>
      </c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173" t="str">
        <f>IF(LEN(TRIM('3 Освоение программы'!D114))=0," ",'3 Освоение программы'!D114)</f>
        <v xml:space="preserve"> </v>
      </c>
      <c r="AW60" s="173"/>
      <c r="AX60" s="173"/>
      <c r="AY60" s="173"/>
      <c r="AZ60" s="173"/>
      <c r="BA60" s="173"/>
      <c r="BB60" s="173"/>
      <c r="BC60" s="27"/>
    </row>
    <row r="61" spans="1:55" ht="9.9499999999999993" customHeight="1" x14ac:dyDescent="0.25">
      <c r="A61" s="91"/>
      <c r="B61" s="175" t="str">
        <f>IF(LEN(TRIM('3 Освоение программы'!B47))=0," ",'3 Освоение программы'!B47)</f>
        <v>Дисциплина 46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2" t="str">
        <f>IF(LEN(TRIM('3 Освоение программы'!C47))=0," ",'3 Освоение программы'!C47)</f>
        <v>?? з.е.</v>
      </c>
      <c r="R61" s="172"/>
      <c r="S61" s="172"/>
      <c r="T61" s="172"/>
      <c r="U61" s="138"/>
      <c r="V61" s="172" t="str">
        <f>IF(LEN(TRIM('3 Освоение программы'!D47))=0," ",'3 Освоение программы'!D47)</f>
        <v>оценка</v>
      </c>
      <c r="W61" s="172"/>
      <c r="X61" s="172"/>
      <c r="Y61" s="172"/>
      <c r="Z61" s="172"/>
      <c r="AA61" s="90"/>
      <c r="AB61" s="90"/>
      <c r="AC61" s="90"/>
      <c r="AD61" s="90"/>
      <c r="AE61" s="174" t="str">
        <f>IF(LEN(TRIM('3 Освоение программы'!B115))=0," ",'3 Освоение программы'!B115)</f>
        <v xml:space="preserve"> </v>
      </c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173" t="str">
        <f>IF(LEN(TRIM('3 Освоение программы'!D115))=0," ",'3 Освоение программы'!D115)</f>
        <v xml:space="preserve"> </v>
      </c>
      <c r="AW61" s="173"/>
      <c r="AX61" s="173"/>
      <c r="AY61" s="173"/>
      <c r="AZ61" s="173"/>
      <c r="BA61" s="173"/>
      <c r="BB61" s="173"/>
      <c r="BC61" s="27"/>
    </row>
    <row r="62" spans="1:55" ht="9.9499999999999993" customHeight="1" x14ac:dyDescent="0.25">
      <c r="A62" s="91"/>
      <c r="B62" s="175" t="str">
        <f>IF(LEN(TRIM('3 Освоение программы'!B48))=0," ",'3 Освоение программы'!B48)</f>
        <v>Дисциплина 47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2" t="str">
        <f>IF(LEN(TRIM('3 Освоение программы'!C48))=0," ",'3 Освоение программы'!C48)</f>
        <v>?? з.е.</v>
      </c>
      <c r="R62" s="172"/>
      <c r="S62" s="172"/>
      <c r="T62" s="172"/>
      <c r="U62" s="138"/>
      <c r="V62" s="172" t="str">
        <f>IF(LEN(TRIM('3 Освоение программы'!D48))=0," ",'3 Освоение программы'!D48)</f>
        <v>оценка</v>
      </c>
      <c r="W62" s="172"/>
      <c r="X62" s="172"/>
      <c r="Y62" s="172"/>
      <c r="Z62" s="172"/>
      <c r="AA62" s="90"/>
      <c r="AB62" s="90"/>
      <c r="AC62" s="90"/>
      <c r="AD62" s="90"/>
      <c r="AE62" s="174" t="str">
        <f>IF(LEN(TRIM('3 Освоение программы'!B116))=0," ",'3 Освоение программы'!B116)</f>
        <v xml:space="preserve"> </v>
      </c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173" t="str">
        <f>IF(LEN(TRIM('3 Освоение программы'!D116))=0," ",'3 Освоение программы'!D116)</f>
        <v xml:space="preserve"> </v>
      </c>
      <c r="AW62" s="173"/>
      <c r="AX62" s="173"/>
      <c r="AY62" s="173"/>
      <c r="AZ62" s="173"/>
      <c r="BA62" s="173"/>
      <c r="BB62" s="173"/>
      <c r="BC62" s="27"/>
    </row>
    <row r="63" spans="1:55" ht="9.9499999999999993" customHeight="1" x14ac:dyDescent="0.25">
      <c r="A63" s="91"/>
      <c r="B63" s="175" t="str">
        <f>IF(LEN(TRIM('3 Освоение программы'!B49))=0," ",'3 Освоение программы'!B49)</f>
        <v>Дисциплина 48</v>
      </c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2" t="str">
        <f>IF(LEN(TRIM('3 Освоение программы'!C49))=0," ",'3 Освоение программы'!C49)</f>
        <v>?? з.е.</v>
      </c>
      <c r="R63" s="172"/>
      <c r="S63" s="172"/>
      <c r="T63" s="172"/>
      <c r="U63" s="138"/>
      <c r="V63" s="172" t="str">
        <f>IF(LEN(TRIM('3 Освоение программы'!D49))=0," ",'3 Освоение программы'!D49)</f>
        <v>оценка</v>
      </c>
      <c r="W63" s="172"/>
      <c r="X63" s="172"/>
      <c r="Y63" s="172"/>
      <c r="Z63" s="172"/>
      <c r="AA63" s="90"/>
      <c r="AB63" s="90"/>
      <c r="AC63" s="90"/>
      <c r="AD63" s="90"/>
      <c r="AE63" s="174" t="str">
        <f>IF(LEN(TRIM('3 Освоение программы'!B117))=0," ",'3 Освоение программы'!B117)</f>
        <v xml:space="preserve"> </v>
      </c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173" t="str">
        <f>IF(LEN(TRIM('3 Освоение программы'!D117))=0," ",'3 Освоение программы'!D117)</f>
        <v xml:space="preserve"> </v>
      </c>
      <c r="AW63" s="173"/>
      <c r="AX63" s="173"/>
      <c r="AY63" s="173"/>
      <c r="AZ63" s="173"/>
      <c r="BA63" s="173"/>
      <c r="BB63" s="173"/>
      <c r="BC63" s="27"/>
    </row>
    <row r="64" spans="1:55" ht="9.9499999999999993" customHeight="1" x14ac:dyDescent="0.25">
      <c r="A64" s="91"/>
      <c r="B64" s="175" t="str">
        <f>IF(LEN(TRIM('3 Освоение программы'!B50))=0," ",'3 Освоение программы'!B50)</f>
        <v>Дисциплина 49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2" t="str">
        <f>IF(LEN(TRIM('3 Освоение программы'!C50))=0," ",'3 Освоение программы'!C50)</f>
        <v>?? з.е.</v>
      </c>
      <c r="R64" s="172"/>
      <c r="S64" s="172"/>
      <c r="T64" s="172"/>
      <c r="U64" s="138"/>
      <c r="V64" s="172" t="str">
        <f>IF(LEN(TRIM('3 Освоение программы'!D50))=0," ",'3 Освоение программы'!D50)</f>
        <v>оценка</v>
      </c>
      <c r="W64" s="172"/>
      <c r="X64" s="172"/>
      <c r="Y64" s="172"/>
      <c r="Z64" s="172"/>
      <c r="AA64" s="90"/>
      <c r="AB64" s="90"/>
      <c r="AC64" s="90"/>
      <c r="AD64" s="90"/>
      <c r="AE64" s="174" t="str">
        <f>IF(LEN(TRIM('3 Освоение программы'!B118))=0," ",'3 Освоение программы'!B118)</f>
        <v xml:space="preserve"> </v>
      </c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173" t="str">
        <f>IF(LEN(TRIM('3 Освоение программы'!D118))=0," ",'3 Освоение программы'!D118)</f>
        <v xml:space="preserve"> </v>
      </c>
      <c r="AW64" s="173"/>
      <c r="AX64" s="173"/>
      <c r="AY64" s="173"/>
      <c r="AZ64" s="173"/>
      <c r="BA64" s="173"/>
      <c r="BB64" s="173"/>
      <c r="BC64" s="27"/>
    </row>
    <row r="65" spans="1:55" ht="9.9499999999999993" customHeight="1" x14ac:dyDescent="0.25">
      <c r="A65" s="91"/>
      <c r="B65" s="175" t="str">
        <f>IF(LEN(TRIM('3 Освоение программы'!B51))=0," ",'3 Освоение программы'!B51)</f>
        <v>Дисциплина 50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2" t="str">
        <f>IF(LEN(TRIM('3 Освоение программы'!C51))=0," ",'3 Освоение программы'!C51)</f>
        <v>?? з.е.</v>
      </c>
      <c r="R65" s="172"/>
      <c r="S65" s="172"/>
      <c r="T65" s="172"/>
      <c r="U65" s="138"/>
      <c r="V65" s="172" t="str">
        <f>IF(LEN(TRIM('3 Освоение программы'!D51))=0," ",'3 Освоение программы'!D51)</f>
        <v>оценка</v>
      </c>
      <c r="W65" s="172"/>
      <c r="X65" s="172"/>
      <c r="Y65" s="172"/>
      <c r="Z65" s="172"/>
      <c r="AA65" s="90"/>
      <c r="AB65" s="90"/>
      <c r="AC65" s="90"/>
      <c r="AD65" s="90"/>
      <c r="AE65" s="174" t="str">
        <f>IF(LEN(TRIM('3 Освоение программы'!B119))=0," ",'3 Освоение программы'!B119)</f>
        <v xml:space="preserve"> </v>
      </c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173" t="str">
        <f>IF(LEN(TRIM('3 Освоение программы'!D119))=0," ",'3 Освоение программы'!D119)</f>
        <v xml:space="preserve"> </v>
      </c>
      <c r="AW65" s="173"/>
      <c r="AX65" s="173"/>
      <c r="AY65" s="173"/>
      <c r="AZ65" s="173"/>
      <c r="BA65" s="173"/>
      <c r="BB65" s="173"/>
      <c r="BC65" s="27"/>
    </row>
    <row r="66" spans="1:55" ht="9.9499999999999993" customHeight="1" x14ac:dyDescent="0.25">
      <c r="A66" s="91"/>
      <c r="B66" s="175" t="str">
        <f>IF(LEN(TRIM('3 Освоение программы'!B52))=0," ",'3 Освоение программы'!B52)</f>
        <v>Дисциплина 51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2" t="str">
        <f>IF(LEN(TRIM('3 Освоение программы'!C52))=0," ",'3 Освоение программы'!C52)</f>
        <v>?? з.е.</v>
      </c>
      <c r="R66" s="172"/>
      <c r="S66" s="172"/>
      <c r="T66" s="172"/>
      <c r="U66" s="138"/>
      <c r="V66" s="172" t="str">
        <f>IF(LEN(TRIM('3 Освоение программы'!D52))=0," ",'3 Освоение программы'!D52)</f>
        <v>оценка</v>
      </c>
      <c r="W66" s="172"/>
      <c r="X66" s="172"/>
      <c r="Y66" s="172"/>
      <c r="Z66" s="172"/>
      <c r="AA66" s="90"/>
      <c r="AB66" s="90"/>
      <c r="AC66" s="90"/>
      <c r="AD66" s="90"/>
      <c r="AE66" s="174" t="str">
        <f>IF(LEN(TRIM('3 Освоение программы'!B120))=0," ",'3 Освоение программы'!B120)</f>
        <v xml:space="preserve"> </v>
      </c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173" t="str">
        <f>IF(LEN(TRIM('3 Освоение программы'!D120))=0," ",'3 Освоение программы'!D120)</f>
        <v xml:space="preserve"> </v>
      </c>
      <c r="AW66" s="173"/>
      <c r="AX66" s="173"/>
      <c r="AY66" s="173"/>
      <c r="AZ66" s="173"/>
      <c r="BA66" s="173"/>
      <c r="BB66" s="173"/>
      <c r="BC66" s="27"/>
    </row>
    <row r="67" spans="1:55" ht="9.9499999999999993" customHeight="1" x14ac:dyDescent="0.25">
      <c r="A67" s="91"/>
      <c r="B67" s="175" t="str">
        <f>IF(LEN(TRIM('3 Освоение программы'!B53))=0," ",'3 Освоение программы'!B53)</f>
        <v>Дисциплина 52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2" t="str">
        <f>IF(LEN(TRIM('3 Освоение программы'!C53))=0," ",'3 Освоение программы'!C53)</f>
        <v>?? з.е.</v>
      </c>
      <c r="R67" s="172"/>
      <c r="S67" s="172"/>
      <c r="T67" s="172"/>
      <c r="U67" s="138"/>
      <c r="V67" s="172" t="str">
        <f>IF(LEN(TRIM('3 Освоение программы'!D53))=0," ",'3 Освоение программы'!D53)</f>
        <v>оценка</v>
      </c>
      <c r="W67" s="172"/>
      <c r="X67" s="172"/>
      <c r="Y67" s="172"/>
      <c r="Z67" s="172"/>
      <c r="AA67" s="90"/>
      <c r="AB67" s="90"/>
      <c r="AC67" s="90"/>
      <c r="AD67" s="90"/>
      <c r="AE67" s="174" t="str">
        <f>IF(LEN(TRIM('3 Освоение программы'!B121))=0," ",'3 Освоение программы'!B121)</f>
        <v xml:space="preserve"> </v>
      </c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173" t="str">
        <f>IF(LEN(TRIM('3 Освоение программы'!D121))=0," ",'3 Освоение программы'!D121)</f>
        <v xml:space="preserve"> </v>
      </c>
      <c r="AW67" s="173"/>
      <c r="AX67" s="173"/>
      <c r="AY67" s="173"/>
      <c r="AZ67" s="173"/>
      <c r="BA67" s="173"/>
      <c r="BB67" s="173"/>
      <c r="BC67" s="27"/>
    </row>
    <row r="68" spans="1:55" ht="9.9499999999999993" customHeight="1" x14ac:dyDescent="0.25">
      <c r="A68" s="91"/>
      <c r="B68" s="175" t="str">
        <f>IF(LEN(TRIM('3 Освоение программы'!B54))=0," ",'3 Освоение программы'!B54)</f>
        <v>Дисциплина 53</v>
      </c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2" t="str">
        <f>IF(LEN(TRIM('3 Освоение программы'!C54))=0," ",'3 Освоение программы'!C54)</f>
        <v>?? з.е.</v>
      </c>
      <c r="R68" s="172"/>
      <c r="S68" s="172"/>
      <c r="T68" s="172"/>
      <c r="U68" s="138"/>
      <c r="V68" s="172" t="str">
        <f>IF(LEN(TRIM('3 Освоение программы'!D54))=0," ",'3 Освоение программы'!D54)</f>
        <v>оценка</v>
      </c>
      <c r="W68" s="172"/>
      <c r="X68" s="172"/>
      <c r="Y68" s="172"/>
      <c r="Z68" s="172"/>
      <c r="AA68" s="90"/>
      <c r="AB68" s="90"/>
      <c r="AC68" s="90"/>
      <c r="AD68" s="90"/>
      <c r="AE68" s="174" t="str">
        <f>IF(LEN(TRIM('3 Освоение программы'!B122))=0," ",'3 Освоение программы'!B122)</f>
        <v xml:space="preserve"> </v>
      </c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173" t="str">
        <f>IF(LEN(TRIM('3 Освоение программы'!D122))=0," ",'3 Освоение программы'!D122)</f>
        <v xml:space="preserve"> </v>
      </c>
      <c r="AW68" s="173"/>
      <c r="AX68" s="173"/>
      <c r="AY68" s="173"/>
      <c r="AZ68" s="173"/>
      <c r="BA68" s="173"/>
      <c r="BB68" s="173"/>
      <c r="BC68" s="27"/>
    </row>
    <row r="69" spans="1:55" ht="9.9499999999999993" customHeight="1" x14ac:dyDescent="0.25">
      <c r="A69" s="91"/>
      <c r="B69" s="175" t="str">
        <f>IF(LEN(TRIM('3 Освоение программы'!B55))=0," ",'3 Освоение программы'!B55)</f>
        <v>Дисциплина 54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2" t="str">
        <f>IF(LEN(TRIM('3 Освоение программы'!C55))=0," ",'3 Освоение программы'!C55)</f>
        <v>?? з.е.</v>
      </c>
      <c r="R69" s="172"/>
      <c r="S69" s="172"/>
      <c r="T69" s="172"/>
      <c r="U69" s="138"/>
      <c r="V69" s="172" t="str">
        <f>IF(LEN(TRIM('3 Освоение программы'!D55))=0," ",'3 Освоение программы'!D55)</f>
        <v>оценка</v>
      </c>
      <c r="W69" s="172"/>
      <c r="X69" s="172"/>
      <c r="Y69" s="172"/>
      <c r="Z69" s="172"/>
      <c r="AA69" s="90"/>
      <c r="AB69" s="90"/>
      <c r="AC69" s="90"/>
      <c r="AD69" s="90"/>
      <c r="AE69" s="174" t="str">
        <f>IF(LEN(TRIM('3 Освоение программы'!B123))=0," ",'3 Освоение программы'!B123)</f>
        <v xml:space="preserve"> </v>
      </c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173" t="str">
        <f>IF(LEN(TRIM('3 Освоение программы'!D123))=0," ",'3 Освоение программы'!D123)</f>
        <v xml:space="preserve"> </v>
      </c>
      <c r="AW69" s="173"/>
      <c r="AX69" s="173"/>
      <c r="AY69" s="173"/>
      <c r="AZ69" s="173"/>
      <c r="BA69" s="173"/>
      <c r="BB69" s="173"/>
      <c r="BC69" s="27"/>
    </row>
    <row r="70" spans="1:55" ht="9.9499999999999993" customHeight="1" x14ac:dyDescent="0.25">
      <c r="A70" s="91"/>
      <c r="B70" s="175" t="str">
        <f>IF(LEN(TRIM('3 Освоение программы'!B56))=0," ",'3 Освоение программы'!B56)</f>
        <v>Дисциплина 55</v>
      </c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2" t="str">
        <f>IF(LEN(TRIM('3 Освоение программы'!C56))=0," ",'3 Освоение программы'!C56)</f>
        <v>?? з.е.</v>
      </c>
      <c r="R70" s="172"/>
      <c r="S70" s="172"/>
      <c r="T70" s="172"/>
      <c r="U70" s="138"/>
      <c r="V70" s="172" t="str">
        <f>IF(LEN(TRIM('3 Освоение программы'!D56))=0," ",'3 Освоение программы'!D56)</f>
        <v>оценка</v>
      </c>
      <c r="W70" s="172"/>
      <c r="X70" s="172"/>
      <c r="Y70" s="172"/>
      <c r="Z70" s="172"/>
      <c r="AA70" s="90"/>
      <c r="AB70" s="90"/>
      <c r="AC70" s="90"/>
      <c r="AD70" s="90"/>
      <c r="AE70" s="174" t="str">
        <f>IF(LEN(TRIM('3 Освоение программы'!B124))=0," ",'3 Освоение программы'!B124)</f>
        <v xml:space="preserve"> </v>
      </c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173" t="str">
        <f>IF(LEN(TRIM('3 Освоение программы'!D124))=0," ",'3 Освоение программы'!D124)</f>
        <v xml:space="preserve"> </v>
      </c>
      <c r="AW70" s="173"/>
      <c r="AX70" s="173"/>
      <c r="AY70" s="173"/>
      <c r="AZ70" s="173"/>
      <c r="BA70" s="173"/>
      <c r="BB70" s="173"/>
      <c r="BC70" s="27"/>
    </row>
    <row r="71" spans="1:55" ht="9.9499999999999993" customHeight="1" x14ac:dyDescent="0.25">
      <c r="A71" s="91"/>
      <c r="B71" s="175" t="str">
        <f>IF(LEN(TRIM('3 Освоение программы'!B57))=0," ",'3 Освоение программы'!B57)</f>
        <v>Дисциплина 56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2" t="str">
        <f>IF(LEN(TRIM('3 Освоение программы'!C57))=0," ",'3 Освоение программы'!C57)</f>
        <v>?? з.е.</v>
      </c>
      <c r="R71" s="172"/>
      <c r="S71" s="172"/>
      <c r="T71" s="172"/>
      <c r="U71" s="138"/>
      <c r="V71" s="172" t="str">
        <f>IF(LEN(TRIM('3 Освоение программы'!D57))=0," ",'3 Освоение программы'!D57)</f>
        <v>оценка</v>
      </c>
      <c r="W71" s="172"/>
      <c r="X71" s="172"/>
      <c r="Y71" s="172"/>
      <c r="Z71" s="172"/>
      <c r="AA71" s="90"/>
      <c r="AB71" s="90"/>
      <c r="AC71" s="90"/>
      <c r="AD71" s="90"/>
      <c r="AE71" s="174" t="str">
        <f>IF(LEN(TRIM('3 Освоение программы'!B125))=0," ",'3 Освоение программы'!B125)</f>
        <v xml:space="preserve"> </v>
      </c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  <c r="AQ71" s="174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173" t="str">
        <f>IF(LEN(TRIM('3 Освоение программы'!D125))=0," ",'3 Освоение программы'!D125)</f>
        <v xml:space="preserve"> </v>
      </c>
      <c r="AW71" s="173"/>
      <c r="AX71" s="173"/>
      <c r="AY71" s="173"/>
      <c r="AZ71" s="173"/>
      <c r="BA71" s="173"/>
      <c r="BB71" s="173"/>
      <c r="BC71" s="27"/>
    </row>
    <row r="72" spans="1:55" ht="9.9499999999999993" customHeight="1" x14ac:dyDescent="0.25">
      <c r="A72" s="91"/>
      <c r="B72" s="175" t="str">
        <f>IF(LEN(TRIM('3 Освоение программы'!B58))=0," ",'3 Освоение программы'!B58)</f>
        <v>Дисциплина 57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2" t="str">
        <f>IF(LEN(TRIM('3 Освоение программы'!C58))=0," ",'3 Освоение программы'!C58)</f>
        <v>?? з.е.</v>
      </c>
      <c r="R72" s="172"/>
      <c r="S72" s="172"/>
      <c r="T72" s="172"/>
      <c r="U72" s="138"/>
      <c r="V72" s="172" t="str">
        <f>IF(LEN(TRIM('3 Освоение программы'!D58))=0," ",'3 Освоение программы'!D58)</f>
        <v>оценка</v>
      </c>
      <c r="W72" s="172"/>
      <c r="X72" s="172"/>
      <c r="Y72" s="172"/>
      <c r="Z72" s="172"/>
      <c r="AA72" s="90"/>
      <c r="AB72" s="90"/>
      <c r="AC72" s="90"/>
      <c r="AD72" s="90"/>
      <c r="AE72" s="174" t="str">
        <f>IF(LEN(TRIM('3 Освоение программы'!B126))=0," ",'3 Освоение программы'!B126)</f>
        <v xml:space="preserve"> </v>
      </c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173" t="str">
        <f>IF(LEN(TRIM('3 Освоение программы'!D126))=0," ",'3 Освоение программы'!D126)</f>
        <v xml:space="preserve"> </v>
      </c>
      <c r="AW72" s="173"/>
      <c r="AX72" s="173"/>
      <c r="AY72" s="173"/>
      <c r="AZ72" s="173"/>
      <c r="BA72" s="173"/>
      <c r="BB72" s="173"/>
      <c r="BC72" s="27"/>
    </row>
    <row r="73" spans="1:55" ht="9.9499999999999993" customHeight="1" x14ac:dyDescent="0.25">
      <c r="A73" s="91"/>
      <c r="B73" s="175" t="str">
        <f>IF(LEN(TRIM('3 Освоение программы'!B59))=0," ",'3 Освоение программы'!B59)</f>
        <v>Дисциплина 58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2" t="str">
        <f>IF(LEN(TRIM('3 Освоение программы'!C59))=0," ",'3 Освоение программы'!C59)</f>
        <v>?? з.е.</v>
      </c>
      <c r="R73" s="172"/>
      <c r="S73" s="172"/>
      <c r="T73" s="172"/>
      <c r="U73" s="138"/>
      <c r="V73" s="172" t="str">
        <f>IF(LEN(TRIM('3 Освоение программы'!D59))=0," ",'3 Освоение программы'!D59)</f>
        <v>оценка</v>
      </c>
      <c r="W73" s="172"/>
      <c r="X73" s="172"/>
      <c r="Y73" s="172"/>
      <c r="Z73" s="172"/>
      <c r="AA73" s="90"/>
      <c r="AB73" s="90"/>
      <c r="AC73" s="90"/>
      <c r="AD73" s="90"/>
      <c r="AE73" s="174" t="str">
        <f>IF(LEN(TRIM('3 Освоение программы'!B127))=0," ",'3 Освоение программы'!B127)</f>
        <v xml:space="preserve"> </v>
      </c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173" t="str">
        <f>IF(LEN(TRIM('3 Освоение программы'!D127))=0," ",'3 Освоение программы'!D127)</f>
        <v xml:space="preserve"> </v>
      </c>
      <c r="AW73" s="173"/>
      <c r="AX73" s="173"/>
      <c r="AY73" s="173"/>
      <c r="AZ73" s="173"/>
      <c r="BA73" s="173"/>
      <c r="BB73" s="173"/>
      <c r="BC73" s="27"/>
    </row>
    <row r="74" spans="1:55" ht="9.9499999999999993" customHeight="1" x14ac:dyDescent="0.25">
      <c r="A74" s="91"/>
      <c r="B74" s="175" t="str">
        <f>IF(LEN(TRIM('3 Освоение программы'!B60))=0," ",'3 Освоение программы'!B60)</f>
        <v>Дисциплина 59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2" t="str">
        <f>IF(LEN(TRIM('3 Освоение программы'!C60))=0," ",'3 Освоение программы'!C60)</f>
        <v>?? з.е.</v>
      </c>
      <c r="R74" s="172"/>
      <c r="S74" s="172"/>
      <c r="T74" s="172"/>
      <c r="U74" s="138"/>
      <c r="V74" s="172" t="str">
        <f>IF(LEN(TRIM('3 Освоение программы'!D60))=0," ",'3 Освоение программы'!D60)</f>
        <v>оценка</v>
      </c>
      <c r="W74" s="172"/>
      <c r="X74" s="172"/>
      <c r="Y74" s="172"/>
      <c r="Z74" s="172"/>
      <c r="AA74" s="90"/>
      <c r="AB74" s="90"/>
      <c r="AC74" s="90"/>
      <c r="AD74" s="90"/>
      <c r="AE74" s="174" t="str">
        <f>IF(LEN(TRIM('3 Освоение программы'!B128))=0," ",'3 Освоение программы'!B128)</f>
        <v xml:space="preserve"> </v>
      </c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173" t="str">
        <f>IF(LEN(TRIM('3 Освоение программы'!D128))=0," ",'3 Освоение программы'!D128)</f>
        <v xml:space="preserve"> </v>
      </c>
      <c r="AW74" s="173"/>
      <c r="AX74" s="173"/>
      <c r="AY74" s="173"/>
      <c r="AZ74" s="173"/>
      <c r="BA74" s="173"/>
      <c r="BB74" s="173"/>
      <c r="BC74" s="27"/>
    </row>
    <row r="75" spans="1:55" ht="9.9499999999999993" customHeight="1" x14ac:dyDescent="0.25">
      <c r="A75" s="91"/>
      <c r="B75" s="175" t="str">
        <f>IF(LEN(TRIM('3 Освоение программы'!B61))=0," ",'3 Освоение программы'!B61)</f>
        <v>Дисциплина 60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2" t="str">
        <f>IF(LEN(TRIM('3 Освоение программы'!C61))=0," ",'3 Освоение программы'!C61)</f>
        <v>?? з.е.</v>
      </c>
      <c r="R75" s="172"/>
      <c r="S75" s="172"/>
      <c r="T75" s="172"/>
      <c r="U75" s="138"/>
      <c r="V75" s="172" t="str">
        <f>IF(LEN(TRIM('3 Освоение программы'!D61))=0," ",'3 Освоение программы'!D61)</f>
        <v>оценка</v>
      </c>
      <c r="W75" s="172"/>
      <c r="X75" s="172"/>
      <c r="Y75" s="172"/>
      <c r="Z75" s="172"/>
      <c r="AA75" s="90"/>
      <c r="AB75" s="90"/>
      <c r="AC75" s="90"/>
      <c r="AD75" s="90"/>
      <c r="AE75" s="174" t="str">
        <f>IF(LEN(TRIM('3 Освоение программы'!B129))=0," ",'3 Освоение программы'!B129)</f>
        <v xml:space="preserve"> </v>
      </c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173" t="str">
        <f>IF(LEN(TRIM('3 Освоение программы'!D129))=0," ",'3 Освоение программы'!D129)</f>
        <v xml:space="preserve"> </v>
      </c>
      <c r="AW75" s="173"/>
      <c r="AX75" s="173"/>
      <c r="AY75" s="173"/>
      <c r="AZ75" s="173"/>
      <c r="BA75" s="173"/>
      <c r="BB75" s="173"/>
      <c r="BC75" s="27"/>
    </row>
    <row r="76" spans="1:55" ht="9.9499999999999993" customHeight="1" x14ac:dyDescent="0.25">
      <c r="A76" s="91"/>
      <c r="B76" s="175" t="str">
        <f>IF(LEN(TRIM('3 Освоение программы'!B62))=0," ",'3 Освоение программы'!B62)</f>
        <v>Дисциплина 61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2" t="str">
        <f>IF(LEN(TRIM('3 Освоение программы'!C62))=0," ",'3 Освоение программы'!C62)</f>
        <v>?? з.е.</v>
      </c>
      <c r="R76" s="172"/>
      <c r="S76" s="172"/>
      <c r="T76" s="172"/>
      <c r="U76" s="138"/>
      <c r="V76" s="172" t="str">
        <f>IF(LEN(TRIM('3 Освоение программы'!D62))=0," ",'3 Освоение программы'!D62)</f>
        <v>оценка</v>
      </c>
      <c r="W76" s="172"/>
      <c r="X76" s="172"/>
      <c r="Y76" s="172"/>
      <c r="Z76" s="172"/>
      <c r="AA76" s="90"/>
      <c r="AB76" s="90"/>
      <c r="AC76" s="90"/>
      <c r="AD76" s="90"/>
      <c r="AE76" s="174" t="str">
        <f>IF(LEN(TRIM('3 Освоение программы'!B130))=0," ",'3 Освоение программы'!B130)</f>
        <v xml:space="preserve"> </v>
      </c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173" t="str">
        <f>IF(LEN(TRIM('3 Освоение программы'!D130))=0," ",'3 Освоение программы'!D130)</f>
        <v xml:space="preserve"> </v>
      </c>
      <c r="AW76" s="173"/>
      <c r="AX76" s="173"/>
      <c r="AY76" s="173"/>
      <c r="AZ76" s="173"/>
      <c r="BA76" s="173"/>
      <c r="BB76" s="173"/>
      <c r="BC76" s="27"/>
    </row>
    <row r="77" spans="1:55" ht="9.9499999999999993" customHeight="1" x14ac:dyDescent="0.25">
      <c r="A77" s="91"/>
      <c r="B77" s="175" t="str">
        <f>IF(LEN(TRIM('3 Освоение программы'!B63))=0," ",'3 Освоение программы'!B63)</f>
        <v>Дисциплина 62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2" t="str">
        <f>IF(LEN(TRIM('3 Освоение программы'!C63))=0," ",'3 Освоение программы'!C63)</f>
        <v>?? з.е.</v>
      </c>
      <c r="R77" s="172"/>
      <c r="S77" s="172"/>
      <c r="T77" s="172"/>
      <c r="U77" s="138"/>
      <c r="V77" s="172" t="str">
        <f>IF(LEN(TRIM('3 Освоение программы'!D63))=0," ",'3 Освоение программы'!D63)</f>
        <v>оценка</v>
      </c>
      <c r="W77" s="172"/>
      <c r="X77" s="172"/>
      <c r="Y77" s="172"/>
      <c r="Z77" s="172"/>
      <c r="AA77" s="90"/>
      <c r="AB77" s="90"/>
      <c r="AC77" s="90"/>
      <c r="AD77" s="90"/>
      <c r="AE77" s="174" t="str">
        <f>IF(LEN(TRIM('3 Освоение программы'!B131))=0," ",'3 Освоение программы'!B131)</f>
        <v xml:space="preserve"> </v>
      </c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173" t="str">
        <f>IF(LEN(TRIM('3 Освоение программы'!D131))=0," ",'3 Освоение программы'!D131)</f>
        <v xml:space="preserve"> </v>
      </c>
      <c r="AW77" s="173"/>
      <c r="AX77" s="173"/>
      <c r="AY77" s="173"/>
      <c r="AZ77" s="173"/>
      <c r="BA77" s="173"/>
      <c r="BB77" s="173"/>
      <c r="BC77" s="27"/>
    </row>
    <row r="78" spans="1:55" ht="9.9499999999999993" customHeight="1" x14ac:dyDescent="0.25">
      <c r="A78" s="91"/>
      <c r="B78" s="175" t="str">
        <f>IF(LEN(TRIM('3 Освоение программы'!B64))=0," ",'3 Освоение программы'!B64)</f>
        <v>Дисциплина 63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2" t="str">
        <f>IF(LEN(TRIM('3 Освоение программы'!C64))=0," ",'3 Освоение программы'!C64)</f>
        <v>?? з.е.</v>
      </c>
      <c r="R78" s="172"/>
      <c r="S78" s="172"/>
      <c r="T78" s="172"/>
      <c r="U78" s="138"/>
      <c r="V78" s="172" t="str">
        <f>IF(LEN(TRIM('3 Освоение программы'!D64))=0," ",'3 Освоение программы'!D64)</f>
        <v>оценка</v>
      </c>
      <c r="W78" s="172"/>
      <c r="X78" s="172"/>
      <c r="Y78" s="172"/>
      <c r="Z78" s="172"/>
      <c r="AA78" s="90"/>
      <c r="AB78" s="90"/>
      <c r="AC78" s="90"/>
      <c r="AD78" s="90"/>
      <c r="AE78" s="174" t="str">
        <f>IF(LEN(TRIM('3 Освоение программы'!B132))=0," ",'3 Освоение программы'!B132)</f>
        <v xml:space="preserve"> </v>
      </c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173" t="str">
        <f>IF(LEN(TRIM('3 Освоение программы'!D132))=0," ",'3 Освоение программы'!D132)</f>
        <v xml:space="preserve"> </v>
      </c>
      <c r="AW78" s="173"/>
      <c r="AX78" s="173"/>
      <c r="AY78" s="173"/>
      <c r="AZ78" s="173"/>
      <c r="BA78" s="173"/>
      <c r="BB78" s="173"/>
      <c r="BC78" s="27"/>
    </row>
    <row r="79" spans="1:55" ht="9.9499999999999993" customHeight="1" x14ac:dyDescent="0.25">
      <c r="A79" s="91"/>
      <c r="B79" s="175" t="str">
        <f>IF(LEN(TRIM('3 Освоение программы'!B65))=0," ",'3 Освоение программы'!B65)</f>
        <v>Дисциплина 64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2" t="str">
        <f>IF(LEN(TRIM('3 Освоение программы'!C65))=0," ",'3 Освоение программы'!C65)</f>
        <v>?? з.е.</v>
      </c>
      <c r="R79" s="172"/>
      <c r="S79" s="172"/>
      <c r="T79" s="172"/>
      <c r="U79" s="138"/>
      <c r="V79" s="172" t="str">
        <f>IF(LEN(TRIM('3 Освоение программы'!D65))=0," ",'3 Освоение программы'!D65)</f>
        <v>оценка</v>
      </c>
      <c r="W79" s="172"/>
      <c r="X79" s="172"/>
      <c r="Y79" s="172"/>
      <c r="Z79" s="172"/>
      <c r="AA79" s="90"/>
      <c r="AB79" s="90"/>
      <c r="AC79" s="90"/>
      <c r="AD79" s="90"/>
      <c r="AE79" s="174" t="str">
        <f>IF(LEN(TRIM('3 Освоение программы'!B133))=0," ",'3 Освоение программы'!B133)</f>
        <v xml:space="preserve"> </v>
      </c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173" t="str">
        <f>IF(LEN(TRIM('3 Освоение программы'!D133))=0," ",'3 Освоение программы'!D133)</f>
        <v xml:space="preserve"> </v>
      </c>
      <c r="AW79" s="173"/>
      <c r="AX79" s="173"/>
      <c r="AY79" s="173"/>
      <c r="AZ79" s="173"/>
      <c r="BA79" s="173"/>
      <c r="BB79" s="173"/>
      <c r="BC79" s="27"/>
    </row>
    <row r="80" spans="1:55" ht="9.9499999999999993" customHeight="1" x14ac:dyDescent="0.25">
      <c r="A80" s="91"/>
      <c r="B80" s="175" t="str">
        <f>IF(LEN(TRIM('3 Освоение программы'!B66))=0," ",'3 Освоение программы'!B66)</f>
        <v>Дисциплина 65</v>
      </c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2" t="str">
        <f>IF(LEN(TRIM('3 Освоение программы'!C66))=0," ",'3 Освоение программы'!C66)</f>
        <v>?? з.е.</v>
      </c>
      <c r="R80" s="172"/>
      <c r="S80" s="172"/>
      <c r="T80" s="172"/>
      <c r="U80" s="138"/>
      <c r="V80" s="172" t="str">
        <f>IF(LEN(TRIM('3 Освоение программы'!D66))=0," ",'3 Освоение программы'!D66)</f>
        <v>оценка</v>
      </c>
      <c r="W80" s="172"/>
      <c r="X80" s="172"/>
      <c r="Y80" s="172"/>
      <c r="Z80" s="172"/>
      <c r="AA80" s="90"/>
      <c r="AB80" s="90"/>
      <c r="AC80" s="90"/>
      <c r="AD80" s="90"/>
      <c r="AE80" s="174" t="str">
        <f>IF(LEN(TRIM('3 Освоение программы'!B134))=0," ",'3 Освоение программы'!B134)</f>
        <v xml:space="preserve"> </v>
      </c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173" t="str">
        <f>IF(LEN(TRIM('3 Освоение программы'!D134))=0," ",'3 Освоение программы'!D134)</f>
        <v xml:space="preserve"> </v>
      </c>
      <c r="AW80" s="173"/>
      <c r="AX80" s="173"/>
      <c r="AY80" s="173"/>
      <c r="AZ80" s="173"/>
      <c r="BA80" s="173"/>
      <c r="BB80" s="173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3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3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3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3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3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6" t="str">
        <f>'1 Обладатель диплома'!B3</f>
        <v>Фамилия</v>
      </c>
      <c r="CG22" s="176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6"/>
      <c r="CG24" s="176"/>
      <c r="CH24" s="176"/>
      <c r="CI24" s="176"/>
      <c r="CJ24" s="176"/>
      <c r="CK24" s="176"/>
      <c r="CL24" s="176"/>
      <c r="CM24" s="176"/>
      <c r="CN24" s="176"/>
      <c r="CO24" s="176"/>
      <c r="CP24" s="176"/>
      <c r="CQ24" s="176"/>
      <c r="CR24" s="176"/>
      <c r="CS24" s="176"/>
      <c r="CT24" s="176"/>
      <c r="CU24" s="176"/>
      <c r="CV24" s="176"/>
      <c r="CW24" s="176"/>
      <c r="CX24" s="176"/>
      <c r="CY24" s="176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6"/>
      <c r="CG25" s="176"/>
      <c r="CH25" s="176"/>
      <c r="CI25" s="176"/>
      <c r="CJ25" s="176"/>
      <c r="CK25" s="176"/>
      <c r="CL25" s="176"/>
      <c r="CM25" s="176"/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3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3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7" t="str">
        <f>'1 Обладатель диплома'!B4</f>
        <v>Имя</v>
      </c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3"/>
      <c r="B29" s="30"/>
      <c r="C29" s="34"/>
      <c r="D29" s="34"/>
      <c r="E29" s="163" t="str">
        <f>IF(LEN(TRIM('4 доп.сведения'!B2))=0," ",'4 доп.сведения'!B2)</f>
        <v xml:space="preserve">Специализация: Наименование </v>
      </c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34"/>
      <c r="AM29" s="34"/>
      <c r="AN29" s="34"/>
      <c r="AO29" s="179" t="str">
        <f>IF(LEN(TRIM('4 доп.сведения'!C2))=0," ",'4 доп.сведения'!C2)</f>
        <v xml:space="preserve"> </v>
      </c>
      <c r="AP29" s="179"/>
      <c r="AQ29" s="179"/>
      <c r="AR29" s="179"/>
      <c r="AS29" s="179"/>
      <c r="AT29" s="179"/>
      <c r="AU29" s="179"/>
      <c r="AV29" s="179"/>
      <c r="AW29" s="179"/>
      <c r="AX29" s="179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3"/>
      <c r="B30" s="30"/>
      <c r="C30" s="34"/>
      <c r="D30" s="34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34"/>
      <c r="AM30" s="34"/>
      <c r="AN30" s="34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3"/>
      <c r="B31" s="30"/>
      <c r="C31" s="34"/>
      <c r="D31" s="34"/>
      <c r="E31" s="163" t="str">
        <f>IF(LEN(TRIM('4 доп.сведения'!B3))=0," ",'4 доп.сведения'!B3)</f>
        <v>Форма обучения: очная</v>
      </c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34"/>
      <c r="AM31" s="34"/>
      <c r="AN31" s="34"/>
      <c r="AO31" s="179" t="str">
        <f>IF(LEN(TRIM('4 доп.сведения'!C3))=0," ",'4 доп.сведения'!C3)</f>
        <v xml:space="preserve"> </v>
      </c>
      <c r="AP31" s="179"/>
      <c r="AQ31" s="179"/>
      <c r="AR31" s="179"/>
      <c r="AS31" s="179"/>
      <c r="AT31" s="179"/>
      <c r="AU31" s="179"/>
      <c r="AV31" s="179"/>
      <c r="AW31" s="179"/>
      <c r="AX31" s="179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7"/>
      <c r="CG31" s="177"/>
      <c r="CH31" s="177"/>
      <c r="CI31" s="177"/>
      <c r="CJ31" s="177"/>
      <c r="CK31" s="177"/>
      <c r="CL31" s="177"/>
      <c r="CM31" s="177"/>
      <c r="CN31" s="177"/>
      <c r="CO31" s="177"/>
      <c r="CP31" s="177"/>
      <c r="CQ31" s="177"/>
      <c r="CR31" s="177"/>
      <c r="CS31" s="177"/>
      <c r="CT31" s="177"/>
      <c r="CU31" s="177"/>
      <c r="CV31" s="177"/>
      <c r="CW31" s="177"/>
      <c r="CX31" s="177"/>
      <c r="CY31" s="177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3"/>
      <c r="B32" s="30"/>
      <c r="C32" s="34"/>
      <c r="D32" s="34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34"/>
      <c r="AM32" s="34"/>
      <c r="AN32" s="34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3"/>
      <c r="B33" s="30"/>
      <c r="C33" s="34"/>
      <c r="D33" s="34"/>
      <c r="E33" s="163" t="str">
        <f>IF(LEN(TRIM('4 доп.сведения'!B4))=0," ",'4 доп.сведения'!B4)</f>
        <v xml:space="preserve"> </v>
      </c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34"/>
      <c r="AM33" s="34"/>
      <c r="AN33" s="34"/>
      <c r="AO33" s="179" t="str">
        <f>IF(LEN(TRIM('4 доп.сведения'!C4))=0," ",'4 доп.сведения'!C4)</f>
        <v xml:space="preserve"> </v>
      </c>
      <c r="AP33" s="179"/>
      <c r="AQ33" s="179"/>
      <c r="AR33" s="179"/>
      <c r="AS33" s="179"/>
      <c r="AT33" s="179"/>
      <c r="AU33" s="179"/>
      <c r="AV33" s="179"/>
      <c r="AW33" s="179"/>
      <c r="AX33" s="179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3"/>
      <c r="B34" s="30"/>
      <c r="C34" s="34"/>
      <c r="D34" s="34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34"/>
      <c r="AM34" s="34"/>
      <c r="AN34" s="34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3"/>
      <c r="B35" s="30"/>
      <c r="C35" s="34"/>
      <c r="D35" s="34"/>
      <c r="E35" s="163" t="str">
        <f>IF(LEN(TRIM('4 доп.сведения'!B5))=0," ",'4 доп.сведения'!B5)</f>
        <v xml:space="preserve"> </v>
      </c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34"/>
      <c r="AM35" s="34"/>
      <c r="AN35" s="34"/>
      <c r="AO35" s="179" t="str">
        <f>IF(LEN(TRIM('4 доп.сведения'!C5))=0," ",'4 доп.сведения'!C5)</f>
        <v xml:space="preserve"> </v>
      </c>
      <c r="AP35" s="179"/>
      <c r="AQ35" s="179"/>
      <c r="AR35" s="179"/>
      <c r="AS35" s="179"/>
      <c r="AT35" s="179"/>
      <c r="AU35" s="179"/>
      <c r="AV35" s="179"/>
      <c r="AW35" s="179"/>
      <c r="AX35" s="179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7" t="str">
        <f>'1 Обладатель диплома'!B5</f>
        <v>Отчество</v>
      </c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3"/>
      <c r="B36" s="30"/>
      <c r="C36" s="34"/>
      <c r="D36" s="34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34"/>
      <c r="AM36" s="34"/>
      <c r="AN36" s="34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7"/>
      <c r="CV36" s="177"/>
      <c r="CW36" s="177"/>
      <c r="CX36" s="177"/>
      <c r="CY36" s="177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3"/>
      <c r="B37" s="30"/>
      <c r="C37" s="34"/>
      <c r="D37" s="34"/>
      <c r="E37" s="163" t="str">
        <f>IF(LEN(TRIM('4 доп.сведения'!B6))=0," ",'4 доп.сведения'!B6)</f>
        <v xml:space="preserve"> </v>
      </c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34"/>
      <c r="AM37" s="34"/>
      <c r="AN37" s="34"/>
      <c r="AO37" s="179" t="str">
        <f>IF(LEN(TRIM('4 доп.сведения'!C6))=0," ",'4 доп.сведения'!C6)</f>
        <v xml:space="preserve"> </v>
      </c>
      <c r="AP37" s="179"/>
      <c r="AQ37" s="179"/>
      <c r="AR37" s="179"/>
      <c r="AS37" s="179"/>
      <c r="AT37" s="179"/>
      <c r="AU37" s="179"/>
      <c r="AV37" s="179"/>
      <c r="AW37" s="179"/>
      <c r="AX37" s="179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3"/>
      <c r="B38" s="30"/>
      <c r="C38" s="34"/>
      <c r="D38" s="34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34"/>
      <c r="AM38" s="34"/>
      <c r="AN38" s="34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3"/>
      <c r="B39" s="30"/>
      <c r="C39" s="34"/>
      <c r="D39" s="34"/>
      <c r="E39" s="163" t="str">
        <f>IF(LEN(TRIM('4 доп.сведения'!B7))=0," ",'4 доп.сведения'!B7)</f>
        <v xml:space="preserve"> </v>
      </c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34"/>
      <c r="AM39" s="34"/>
      <c r="AN39" s="34"/>
      <c r="AO39" s="179" t="str">
        <f>IF(LEN(TRIM('4 доп.сведения'!C7))=0," ",'4 доп.сведения'!C7)</f>
        <v xml:space="preserve"> </v>
      </c>
      <c r="AP39" s="179"/>
      <c r="AQ39" s="179"/>
      <c r="AR39" s="179"/>
      <c r="AS39" s="179"/>
      <c r="AT39" s="179"/>
      <c r="AU39" s="179"/>
      <c r="AV39" s="179"/>
      <c r="AW39" s="179"/>
      <c r="AX39" s="179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3"/>
      <c r="B40" s="30"/>
      <c r="C40" s="34"/>
      <c r="D40" s="34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34"/>
      <c r="AM40" s="34"/>
      <c r="AN40" s="34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3"/>
      <c r="B41" s="30"/>
      <c r="C41" s="34"/>
      <c r="D41" s="34"/>
      <c r="E41" s="163" t="str">
        <f>IF(LEN(TRIM('4 доп.сведения'!B8))=0," ",'4 доп.сведения'!B8)</f>
        <v xml:space="preserve"> 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34"/>
      <c r="AM41" s="34"/>
      <c r="AN41" s="34"/>
      <c r="AO41" s="179" t="str">
        <f>IF(LEN(TRIM('4 доп.сведения'!C8))=0," ",'4 доп.сведения'!C8)</f>
        <v xml:space="preserve"> </v>
      </c>
      <c r="AP41" s="179"/>
      <c r="AQ41" s="179"/>
      <c r="AR41" s="179"/>
      <c r="AS41" s="179"/>
      <c r="AT41" s="179"/>
      <c r="AU41" s="179"/>
      <c r="AV41" s="179"/>
      <c r="AW41" s="179"/>
      <c r="AX41" s="179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3"/>
      <c r="B42" s="30"/>
      <c r="C42" s="34"/>
      <c r="D42" s="34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34"/>
      <c r="AM42" s="34"/>
      <c r="AN42" s="34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6" t="str">
        <f>'1 Обладатель диплома'!B6</f>
        <v>01 января 1988 года</v>
      </c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/>
      <c r="CS42" s="176"/>
      <c r="CT42" s="176"/>
      <c r="CU42" s="176"/>
      <c r="CV42" s="176"/>
      <c r="CW42" s="176"/>
      <c r="CX42" s="176"/>
      <c r="CY42" s="176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3"/>
      <c r="B43" s="30"/>
      <c r="C43" s="34"/>
      <c r="D43" s="34"/>
      <c r="E43" s="163" t="str">
        <f>IF(LEN(TRIM('4 доп.сведения'!B9))=0," ",'4 доп.сведения'!B9)</f>
        <v xml:space="preserve"> </v>
      </c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34"/>
      <c r="AM43" s="34"/>
      <c r="AN43" s="34"/>
      <c r="AO43" s="179" t="str">
        <f>IF(LEN(TRIM('4 доп.сведения'!C9))=0," ",'4 доп.сведения'!C9)</f>
        <v xml:space="preserve"> </v>
      </c>
      <c r="AP43" s="179"/>
      <c r="AQ43" s="179"/>
      <c r="AR43" s="179"/>
      <c r="AS43" s="179"/>
      <c r="AT43" s="179"/>
      <c r="AU43" s="179"/>
      <c r="AV43" s="179"/>
      <c r="AW43" s="179"/>
      <c r="AX43" s="179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6"/>
      <c r="CG43" s="176"/>
      <c r="CH43" s="176"/>
      <c r="CI43" s="176"/>
      <c r="CJ43" s="176"/>
      <c r="CK43" s="176"/>
      <c r="CL43" s="176"/>
      <c r="CM43" s="176"/>
      <c r="CN43" s="176"/>
      <c r="CO43" s="176"/>
      <c r="CP43" s="176"/>
      <c r="CQ43" s="176"/>
      <c r="CR43" s="176"/>
      <c r="CS43" s="176"/>
      <c r="CT43" s="176"/>
      <c r="CU43" s="176"/>
      <c r="CV43" s="176"/>
      <c r="CW43" s="176"/>
      <c r="CX43" s="176"/>
      <c r="CY43" s="176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3"/>
      <c r="B44" s="30"/>
      <c r="C44" s="34"/>
      <c r="D44" s="34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34"/>
      <c r="AM44" s="34"/>
      <c r="AN44" s="34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3"/>
      <c r="B45" s="30"/>
      <c r="C45" s="34"/>
      <c r="D45" s="34"/>
      <c r="E45" s="163" t="str">
        <f>IF(LEN(TRIM('4 доп.сведения'!B10))=0," ",'4 доп.сведения'!B10)</f>
        <v xml:space="preserve"> </v>
      </c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34"/>
      <c r="AM45" s="34"/>
      <c r="AN45" s="34"/>
      <c r="AO45" s="179" t="str">
        <f>IF(LEN(TRIM('4 доп.сведения'!C10))=0," ",'4 доп.сведения'!C10)</f>
        <v xml:space="preserve"> </v>
      </c>
      <c r="AP45" s="179"/>
      <c r="AQ45" s="179"/>
      <c r="AR45" s="179"/>
      <c r="AS45" s="179"/>
      <c r="AT45" s="179"/>
      <c r="AU45" s="179"/>
      <c r="AV45" s="179"/>
      <c r="AW45" s="179"/>
      <c r="AX45" s="179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3"/>
      <c r="B46" s="30"/>
      <c r="C46" s="34"/>
      <c r="D46" s="34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34"/>
      <c r="AM46" s="34"/>
      <c r="AN46" s="34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3"/>
      <c r="B47" s="30"/>
      <c r="C47" s="34"/>
      <c r="D47" s="34"/>
      <c r="E47" s="163" t="str">
        <f>IF(LEN(TRIM('4 доп.сведения'!B11))=0," ",'4 доп.сведения'!B11)</f>
        <v xml:space="preserve"> </v>
      </c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34"/>
      <c r="AM47" s="34"/>
      <c r="AN47" s="34"/>
      <c r="AO47" s="179" t="str">
        <f>IF(LEN(TRIM('4 доп.сведения'!C11))=0," ",'4 доп.сведения'!C11)</f>
        <v xml:space="preserve"> </v>
      </c>
      <c r="AP47" s="179"/>
      <c r="AQ47" s="179"/>
      <c r="AR47" s="179"/>
      <c r="AS47" s="179"/>
      <c r="AT47" s="179"/>
      <c r="AU47" s="179"/>
      <c r="AV47" s="179"/>
      <c r="AW47" s="179"/>
      <c r="AX47" s="179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3"/>
      <c r="B48" s="30"/>
      <c r="C48" s="34"/>
      <c r="D48" s="34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34"/>
      <c r="AM48" s="34"/>
      <c r="AN48" s="34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3"/>
      <c r="B49" s="30"/>
      <c r="C49" s="34"/>
      <c r="D49" s="34"/>
      <c r="E49" s="163" t="str">
        <f>IF(LEN(TRIM('4 доп.сведения'!B12))=0," ",'4 доп.сведения'!B12)</f>
        <v xml:space="preserve"> </v>
      </c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34"/>
      <c r="AM49" s="34"/>
      <c r="AN49" s="34"/>
      <c r="AO49" s="179" t="str">
        <f>IF(LEN(TRIM('4 доп.сведения'!C12))=0," ",'4 доп.сведения'!C12)</f>
        <v xml:space="preserve"> </v>
      </c>
      <c r="AP49" s="179"/>
      <c r="AQ49" s="179"/>
      <c r="AR49" s="179"/>
      <c r="AS49" s="179"/>
      <c r="AT49" s="179"/>
      <c r="AU49" s="179"/>
      <c r="AV49" s="179"/>
      <c r="AW49" s="179"/>
      <c r="AX49" s="179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3"/>
      <c r="B50" s="30"/>
      <c r="C50" s="34"/>
      <c r="D50" s="34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34"/>
      <c r="AM50" s="34"/>
      <c r="AN50" s="34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3"/>
      <c r="B51" s="30"/>
      <c r="C51" s="34"/>
      <c r="D51" s="34"/>
      <c r="E51" s="163" t="str">
        <f>IF(LEN(TRIM('4 доп.сведения'!B13))=0," ",'4 доп.сведения'!B13)</f>
        <v xml:space="preserve"> </v>
      </c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34"/>
      <c r="AM51" s="34"/>
      <c r="AN51" s="34"/>
      <c r="AO51" s="179" t="str">
        <f>IF(LEN(TRIM('4 доп.сведения'!C13))=0," ",'4 доп.сведения'!C13)</f>
        <v xml:space="preserve"> </v>
      </c>
      <c r="AP51" s="179"/>
      <c r="AQ51" s="179"/>
      <c r="AR51" s="179"/>
      <c r="AS51" s="179"/>
      <c r="AT51" s="179"/>
      <c r="AU51" s="179"/>
      <c r="AV51" s="179"/>
      <c r="AW51" s="179"/>
      <c r="AX51" s="179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3"/>
      <c r="B52" s="30"/>
      <c r="C52" s="34"/>
      <c r="D52" s="34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34"/>
      <c r="AM52" s="34"/>
      <c r="AN52" s="34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3" t="str">
        <f>IF(LEN(TRIM('4 доп.сведения'!B14))=0," ",'4 доп.сведения'!B14)</f>
        <v xml:space="preserve"> 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34"/>
      <c r="AM53" s="34"/>
      <c r="AN53" s="34"/>
      <c r="AO53" s="179" t="str">
        <f>IF(LEN(TRIM('4 доп.сведения'!C14))=0," ",'4 доп.сведения'!C14)</f>
        <v xml:space="preserve"> </v>
      </c>
      <c r="AP53" s="179"/>
      <c r="AQ53" s="179"/>
      <c r="AR53" s="179"/>
      <c r="AS53" s="179"/>
      <c r="AT53" s="179"/>
      <c r="AU53" s="179"/>
      <c r="AV53" s="179"/>
      <c r="AW53" s="179"/>
      <c r="AX53" s="179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34"/>
      <c r="AM54" s="34"/>
      <c r="AN54" s="34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3" t="str">
        <f>IF(LEN(TRIM('4 доп.сведения'!B15))=0," ",'4 доп.сведения'!B15)</f>
        <v xml:space="preserve"> 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34"/>
      <c r="AM55" s="34"/>
      <c r="AN55" s="34"/>
      <c r="AO55" s="179" t="str">
        <f>IF(LEN(TRIM('4 доп.сведения'!C15))=0," ",'4 доп.сведения'!C15)</f>
        <v xml:space="preserve"> </v>
      </c>
      <c r="AP55" s="179"/>
      <c r="AQ55" s="179"/>
      <c r="AR55" s="179"/>
      <c r="AS55" s="179"/>
      <c r="AT55" s="179"/>
      <c r="AU55" s="179"/>
      <c r="AV55" s="179"/>
      <c r="AW55" s="179"/>
      <c r="AX55" s="179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34"/>
      <c r="AM56" s="34"/>
      <c r="AN56" s="34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82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3" t="str">
        <f>IF(LEN(TRIM('4 доп.сведения'!B16))=0," ",'4 доп.сведения'!B16)</f>
        <v xml:space="preserve"> </v>
      </c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34"/>
      <c r="AM57" s="34"/>
      <c r="AN57" s="34"/>
      <c r="AO57" s="179" t="str">
        <f>IF(LEN(TRIM('4 доп.сведения'!C16))=0," ",'4 доп.сведения'!C16)</f>
        <v xml:space="preserve"> </v>
      </c>
      <c r="AP57" s="179"/>
      <c r="AQ57" s="179"/>
      <c r="AR57" s="179"/>
      <c r="AS57" s="179"/>
      <c r="AT57" s="179"/>
      <c r="AU57" s="179"/>
      <c r="AV57" s="179"/>
      <c r="AW57" s="179"/>
      <c r="AX57" s="179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34"/>
      <c r="AM58" s="34"/>
      <c r="AN58" s="34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3" t="str">
        <f>IF(LEN(TRIM('4 доп.сведения'!B17))=0," ",'4 доп.сведения'!B17)</f>
        <v xml:space="preserve"> </v>
      </c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34"/>
      <c r="AM59" s="34"/>
      <c r="AN59" s="34"/>
      <c r="AO59" s="179" t="str">
        <f>IF(LEN(TRIM('4 доп.сведения'!C17))=0," ",'4 доп.сведения'!C17)</f>
        <v xml:space="preserve"> </v>
      </c>
      <c r="AP59" s="179"/>
      <c r="AQ59" s="179"/>
      <c r="AR59" s="179"/>
      <c r="AS59" s="179"/>
      <c r="AT59" s="179"/>
      <c r="AU59" s="179"/>
      <c r="AV59" s="179"/>
      <c r="AW59" s="179"/>
      <c r="AX59" s="179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34"/>
      <c r="AM60" s="34"/>
      <c r="AN60" s="34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3" t="str">
        <f>IF(LEN(TRIM('4 доп.сведения'!B18))=0," ",'4 доп.сведения'!B18)</f>
        <v xml:space="preserve"> </v>
      </c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34"/>
      <c r="AM61" s="34"/>
      <c r="AN61" s="34"/>
      <c r="AO61" s="179" t="str">
        <f>IF(LEN(TRIM('4 доп.сведения'!C18))=0," ",'4 доп.сведения'!C18)</f>
        <v xml:space="preserve"> </v>
      </c>
      <c r="AP61" s="179"/>
      <c r="AQ61" s="179"/>
      <c r="AR61" s="179"/>
      <c r="AS61" s="179"/>
      <c r="AT61" s="179"/>
      <c r="AU61" s="179"/>
      <c r="AV61" s="179"/>
      <c r="AW61" s="179"/>
      <c r="AX61" s="179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34"/>
      <c r="AM62" s="34"/>
      <c r="AN62" s="34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3" t="str">
        <f>IF(LEN(TRIM('4 доп.сведения'!B19))=0," ",'4 доп.сведения'!B19)</f>
        <v xml:space="preserve"> </v>
      </c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34"/>
      <c r="AM63" s="34"/>
      <c r="AN63" s="34"/>
      <c r="AO63" s="179" t="str">
        <f>IF(LEN(TRIM('4 доп.сведения'!C19))=0," ",'4 доп.сведения'!C19)</f>
        <v xml:space="preserve"> </v>
      </c>
      <c r="AP63" s="179"/>
      <c r="AQ63" s="179"/>
      <c r="AR63" s="179"/>
      <c r="AS63" s="179"/>
      <c r="AT63" s="179"/>
      <c r="AU63" s="179"/>
      <c r="AV63" s="179"/>
      <c r="AW63" s="179"/>
      <c r="AX63" s="179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34"/>
      <c r="AM64" s="34"/>
      <c r="AN64" s="34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3" t="str">
        <f>IF(LEN(TRIM('4 доп.сведения'!B20))=0," ",'4 доп.сведения'!B20)</f>
        <v xml:space="preserve"> </v>
      </c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34"/>
      <c r="AM65" s="34"/>
      <c r="AN65" s="34"/>
      <c r="AO65" s="179" t="str">
        <f>IF(LEN(TRIM('4 доп.сведения'!C20))=0," ",'4 доп.сведения'!C20)</f>
        <v xml:space="preserve"> </v>
      </c>
      <c r="AP65" s="179"/>
      <c r="AQ65" s="179"/>
      <c r="AR65" s="179"/>
      <c r="AS65" s="179"/>
      <c r="AT65" s="179"/>
      <c r="AU65" s="179"/>
      <c r="AV65" s="179"/>
      <c r="AW65" s="179"/>
      <c r="AX65" s="179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34"/>
      <c r="AM66" s="34"/>
      <c r="AN66" s="34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3" t="str">
        <f>IF(LEN(TRIM('4 доп.сведения'!B21))=0," ",'4 доп.сведения'!B21)</f>
        <v xml:space="preserve"> </v>
      </c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34"/>
      <c r="AM67" s="34"/>
      <c r="AN67" s="34"/>
      <c r="AO67" s="179" t="str">
        <f>IF(LEN(TRIM('4 доп.сведения'!C21))=0," ",'4 доп.сведения'!C21)</f>
        <v xml:space="preserve"> </v>
      </c>
      <c r="AP67" s="179"/>
      <c r="AQ67" s="179"/>
      <c r="AR67" s="179"/>
      <c r="AS67" s="179"/>
      <c r="AT67" s="179"/>
      <c r="AU67" s="179"/>
      <c r="AV67" s="179"/>
      <c r="AW67" s="179"/>
      <c r="AX67" s="179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34"/>
      <c r="AM68" s="34"/>
      <c r="AN68" s="34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3" t="str">
        <f>IF(LEN(TRIM('4 доп.сведения'!B22))=0," ",'4 доп.сведения'!B22)</f>
        <v xml:space="preserve"> </v>
      </c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34"/>
      <c r="AM69" s="34"/>
      <c r="AN69" s="34"/>
      <c r="AO69" s="179" t="str">
        <f>IF(LEN(TRIM('4 доп.сведения'!C22))=0," ",'4 доп.сведения'!C22)</f>
        <v xml:space="preserve"> </v>
      </c>
      <c r="AP69" s="179"/>
      <c r="AQ69" s="179"/>
      <c r="AR69" s="179"/>
      <c r="AS69" s="179"/>
      <c r="AT69" s="179"/>
      <c r="AU69" s="179"/>
      <c r="AV69" s="179"/>
      <c r="AW69" s="179"/>
      <c r="AX69" s="179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34"/>
      <c r="AM70" s="34"/>
      <c r="AN70" s="34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3" t="str">
        <f>IF(LEN(TRIM('4 доп.сведения'!B23))=0," ",'4 доп.сведения'!B23)</f>
        <v xml:space="preserve"> </v>
      </c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34"/>
      <c r="AM71" s="34"/>
      <c r="AN71" s="34"/>
      <c r="AO71" s="179" t="str">
        <f>IF(LEN(TRIM('4 доп.сведения'!C23))=0," ",'4 доп.сведения'!C23)</f>
        <v xml:space="preserve"> </v>
      </c>
      <c r="AP71" s="179"/>
      <c r="AQ71" s="179"/>
      <c r="AR71" s="179"/>
      <c r="AS71" s="179"/>
      <c r="AT71" s="179"/>
      <c r="AU71" s="179"/>
      <c r="AV71" s="179"/>
      <c r="AW71" s="179"/>
      <c r="AX71" s="179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34"/>
      <c r="AM72" s="34"/>
      <c r="AN72" s="34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3" t="str">
        <f>IF(LEN(TRIM('4 доп.сведения'!B24))=0," ",'4 доп.сведения'!B24)</f>
        <v xml:space="preserve"> </v>
      </c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34"/>
      <c r="AM73" s="34"/>
      <c r="AN73" s="34"/>
      <c r="AO73" s="179" t="str">
        <f>IF(LEN(TRIM('4 доп.сведения'!C24))=0," ",'4 доп.сведения'!C24)</f>
        <v xml:space="preserve"> </v>
      </c>
      <c r="AP73" s="179"/>
      <c r="AQ73" s="179"/>
      <c r="AR73" s="179"/>
      <c r="AS73" s="179"/>
      <c r="AT73" s="179"/>
      <c r="AU73" s="179"/>
      <c r="AV73" s="179"/>
      <c r="AW73" s="179"/>
      <c r="AX73" s="179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34"/>
      <c r="AM74" s="34"/>
      <c r="AN74" s="34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3" t="str">
        <f>IF(LEN(TRIM('4 доп.сведения'!B25))=0," ",'4 доп.сведения'!B25)</f>
        <v xml:space="preserve"> </v>
      </c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34"/>
      <c r="AM75" s="34"/>
      <c r="AN75" s="34"/>
      <c r="AO75" s="179" t="str">
        <f>IF(LEN(TRIM('4 доп.сведения'!C25))=0," ",'4 доп.сведения'!C25)</f>
        <v xml:space="preserve"> </v>
      </c>
      <c r="AP75" s="179"/>
      <c r="AQ75" s="179"/>
      <c r="AR75" s="179"/>
      <c r="AS75" s="179"/>
      <c r="AT75" s="179"/>
      <c r="AU75" s="179"/>
      <c r="AV75" s="179"/>
      <c r="AW75" s="179"/>
      <c r="AX75" s="179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34"/>
      <c r="AM76" s="34"/>
      <c r="AN76" s="34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3" t="str">
        <f>IF(LEN(TRIM('4 доп.сведения'!B26))=0," ",'4 доп.сведения'!B26)</f>
        <v xml:space="preserve"> </v>
      </c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34"/>
      <c r="AM77" s="34"/>
      <c r="AN77" s="34"/>
      <c r="AO77" s="179" t="str">
        <f>IF(LEN(TRIM('4 доп.сведения'!C26))=0," ",'4 доп.сведения'!C26)</f>
        <v xml:space="preserve"> </v>
      </c>
      <c r="AP77" s="179"/>
      <c r="AQ77" s="179"/>
      <c r="AR77" s="179"/>
      <c r="AS77" s="179"/>
      <c r="AT77" s="179"/>
      <c r="AU77" s="179"/>
      <c r="AV77" s="179"/>
      <c r="AW77" s="179"/>
      <c r="AX77" s="179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34"/>
      <c r="AM78" s="34"/>
      <c r="AN78" s="34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3" t="str">
        <f>IF(LEN(TRIM('4 доп.сведения'!B27))=0," ",'4 доп.сведения'!B27)</f>
        <v xml:space="preserve"> </v>
      </c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34"/>
      <c r="AM79" s="34"/>
      <c r="AN79" s="34"/>
      <c r="AO79" s="179" t="str">
        <f>IF(LEN(TRIM('4 доп.сведения'!C27))=0," ",'4 доп.сведения'!C27)</f>
        <v xml:space="preserve"> </v>
      </c>
      <c r="AP79" s="179"/>
      <c r="AQ79" s="179"/>
      <c r="AR79" s="179"/>
      <c r="AS79" s="179"/>
      <c r="AT79" s="179"/>
      <c r="AU79" s="179"/>
      <c r="AV79" s="179"/>
      <c r="AW79" s="179"/>
      <c r="AX79" s="179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34"/>
      <c r="AM80" s="34"/>
      <c r="AN80" s="34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3" t="str">
        <f>IF(LEN(TRIM('4 доп.сведения'!B28))=0," ",'4 доп.сведения'!B28)</f>
        <v xml:space="preserve"> </v>
      </c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34"/>
      <c r="AM81" s="34"/>
      <c r="AN81" s="34"/>
      <c r="AO81" s="179" t="str">
        <f>IF(LEN(TRIM('4 доп.сведения'!C28))=0," ",'4 доп.сведения'!C28)</f>
        <v xml:space="preserve"> </v>
      </c>
      <c r="AP81" s="179"/>
      <c r="AQ81" s="179"/>
      <c r="AR81" s="179"/>
      <c r="AS81" s="179"/>
      <c r="AT81" s="179"/>
      <c r="AU81" s="179"/>
      <c r="AV81" s="179"/>
      <c r="AW81" s="179"/>
      <c r="AX81" s="179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34"/>
      <c r="AM82" s="34"/>
      <c r="AN82" s="34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3" t="str">
        <f>IF(LEN(TRIM('4 доп.сведения'!B29))=0," ",'4 доп.сведения'!B29)</f>
        <v xml:space="preserve"> </v>
      </c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34"/>
      <c r="AM83" s="34"/>
      <c r="AN83" s="34"/>
      <c r="AO83" s="179" t="str">
        <f>IF(LEN(TRIM('4 доп.сведения'!C29))=0," ",'4 доп.сведения'!C29)</f>
        <v xml:space="preserve"> </v>
      </c>
      <c r="AP83" s="179"/>
      <c r="AQ83" s="179"/>
      <c r="AR83" s="179"/>
      <c r="AS83" s="179"/>
      <c r="AT83" s="179"/>
      <c r="AU83" s="179"/>
      <c r="AV83" s="179"/>
      <c r="AW83" s="179"/>
      <c r="AX83" s="179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34"/>
      <c r="AM84" s="34"/>
      <c r="AN84" s="34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3" t="str">
        <f>IF(LEN(TRIM('4 доп.сведения'!B30))=0," ",'4 доп.сведения'!B30)</f>
        <v xml:space="preserve"> </v>
      </c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34"/>
      <c r="AM85" s="34"/>
      <c r="AN85" s="34"/>
      <c r="AO85" s="179" t="str">
        <f>IF(LEN(TRIM('4 доп.сведения'!C30))=0," ",'4 доп.сведения'!C30)</f>
        <v xml:space="preserve"> </v>
      </c>
      <c r="AP85" s="179"/>
      <c r="AQ85" s="179"/>
      <c r="AR85" s="179"/>
      <c r="AS85" s="179"/>
      <c r="AT85" s="179"/>
      <c r="AU85" s="179"/>
      <c r="AV85" s="179"/>
      <c r="AW85" s="179"/>
      <c r="AX85" s="179"/>
      <c r="AY85" s="30"/>
      <c r="AZ85" s="30"/>
      <c r="BA85" s="30"/>
      <c r="BB85" s="30"/>
      <c r="BC85" s="30"/>
      <c r="BD85" s="30"/>
      <c r="BE85" s="164" t="str">
        <f>Диплом!B3</f>
        <v>г Москва</v>
      </c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34"/>
      <c r="AM86" s="34"/>
      <c r="AN86" s="34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30"/>
      <c r="AZ86" s="30"/>
      <c r="BA86" s="30"/>
      <c r="BB86" s="30"/>
      <c r="BC86" s="30"/>
      <c r="BD86" s="30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3" t="str">
        <f>IF(LEN(TRIM('4 доп.сведения'!B31))=0," ",'4 доп.сведения'!B31)</f>
        <v xml:space="preserve"> </v>
      </c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34"/>
      <c r="AM87" s="34"/>
      <c r="AN87" s="34"/>
      <c r="AO87" s="179" t="str">
        <f>IF(LEN(TRIM('4 доп.сведения'!C31))=0," ",'4 доп.сведения'!C31)</f>
        <v xml:space="preserve"> </v>
      </c>
      <c r="AP87" s="179"/>
      <c r="AQ87" s="179"/>
      <c r="AR87" s="179"/>
      <c r="AS87" s="179"/>
      <c r="AT87" s="179"/>
      <c r="AU87" s="179"/>
      <c r="AV87" s="179"/>
      <c r="AW87" s="179"/>
      <c r="AX87" s="179"/>
      <c r="AY87" s="30"/>
      <c r="AZ87" s="30"/>
      <c r="BA87" s="30"/>
      <c r="BB87" s="30"/>
      <c r="BC87" s="30"/>
      <c r="BD87" s="30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34"/>
      <c r="AM88" s="34"/>
      <c r="AN88" s="34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30"/>
      <c r="AZ88" s="30"/>
      <c r="BA88" s="30"/>
      <c r="BB88" s="30"/>
      <c r="BC88" s="30"/>
      <c r="BD88" s="30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3" t="str">
        <f>IF(LEN(TRIM('4 доп.сведения'!B32))=0," ",'4 доп.сведения'!B32)</f>
        <v xml:space="preserve"> </v>
      </c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34"/>
      <c r="AM89" s="34"/>
      <c r="AN89" s="34"/>
      <c r="AO89" s="179" t="str">
        <f>IF(LEN(TRIM('4 доп.сведения'!C32))=0," ",'4 доп.сведения'!C32)</f>
        <v xml:space="preserve"> </v>
      </c>
      <c r="AP89" s="179"/>
      <c r="AQ89" s="179"/>
      <c r="AR89" s="179"/>
      <c r="AS89" s="179"/>
      <c r="AT89" s="179"/>
      <c r="AU89" s="179"/>
      <c r="AV89" s="179"/>
      <c r="AW89" s="179"/>
      <c r="AX89" s="179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34"/>
      <c r="AM90" s="34"/>
      <c r="AN90" s="34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3" t="str">
        <f>IF(LEN(TRIM('4 доп.сведения'!B33))=0," ",'4 доп.сведения'!B33)</f>
        <v xml:space="preserve"> </v>
      </c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34"/>
      <c r="AM91" s="34"/>
      <c r="AN91" s="34"/>
      <c r="AO91" s="179" t="str">
        <f>IF(LEN(TRIM('4 доп.сведения'!C33))=0," ",'4 доп.сведения'!C33)</f>
        <v xml:space="preserve"> </v>
      </c>
      <c r="AP91" s="179"/>
      <c r="AQ91" s="179"/>
      <c r="AR91" s="179"/>
      <c r="AS91" s="179"/>
      <c r="AT91" s="179"/>
      <c r="AU91" s="179"/>
      <c r="AV91" s="179"/>
      <c r="AW91" s="179"/>
      <c r="AX91" s="179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34"/>
      <c r="AM92" s="34"/>
      <c r="AN92" s="34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3" t="str">
        <f>IF(LEN(TRIM('4 доп.сведения'!B34))=0," ",'4 доп.сведения'!B34)</f>
        <v xml:space="preserve"> </v>
      </c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34"/>
      <c r="AM93" s="34"/>
      <c r="AN93" s="34"/>
      <c r="AO93" s="179" t="str">
        <f>IF(LEN(TRIM('4 доп.сведения'!C34))=0," ",'4 доп.сведения'!C34)</f>
        <v xml:space="preserve"> </v>
      </c>
      <c r="AP93" s="179"/>
      <c r="AQ93" s="179"/>
      <c r="AR93" s="179"/>
      <c r="AS93" s="179"/>
      <c r="AT93" s="179"/>
      <c r="AU93" s="179"/>
      <c r="AV93" s="179"/>
      <c r="AW93" s="179"/>
      <c r="AX93" s="179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34"/>
      <c r="AM94" s="34"/>
      <c r="AN94" s="34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  <c r="CR94" s="164"/>
      <c r="CS94" s="164"/>
      <c r="CT94" s="164"/>
      <c r="CU94" s="164"/>
      <c r="CV94" s="164"/>
      <c r="CW94" s="164"/>
      <c r="CX94" s="164"/>
      <c r="CY94" s="164"/>
      <c r="CZ94" s="164"/>
      <c r="DA94" s="164"/>
      <c r="DB94" s="164"/>
      <c r="DC94" s="164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3" t="str">
        <f>IF(LEN(TRIM('4 доп.сведения'!B35))=0," ",'4 доп.сведения'!B35)</f>
        <v xml:space="preserve"> </v>
      </c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34"/>
      <c r="AM95" s="34"/>
      <c r="AN95" s="34"/>
      <c r="AO95" s="179" t="str">
        <f>IF(LEN(TRIM('4 доп.сведения'!C35))=0," ",'4 доп.сведения'!C35)</f>
        <v xml:space="preserve"> </v>
      </c>
      <c r="AP95" s="179"/>
      <c r="AQ95" s="179"/>
      <c r="AR95" s="179"/>
      <c r="AS95" s="179"/>
      <c r="AT95" s="179"/>
      <c r="AU95" s="179"/>
      <c r="AV95" s="179"/>
      <c r="AW95" s="179"/>
      <c r="AX95" s="179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  <c r="CR95" s="164"/>
      <c r="CS95" s="164"/>
      <c r="CT95" s="164"/>
      <c r="CU95" s="164"/>
      <c r="CV95" s="164"/>
      <c r="CW95" s="164"/>
      <c r="CX95" s="164"/>
      <c r="CY95" s="164"/>
      <c r="CZ95" s="164"/>
      <c r="DA95" s="164"/>
      <c r="DB95" s="164"/>
      <c r="DC95" s="164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34"/>
      <c r="AM96" s="34"/>
      <c r="AN96" s="34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3" t="str">
        <f>IF(LEN(TRIM('4 доп.сведения'!B36))=0," ",'4 доп.сведения'!B36)</f>
        <v xml:space="preserve"> </v>
      </c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34"/>
      <c r="AM97" s="34"/>
      <c r="AN97" s="34"/>
      <c r="AO97" s="179" t="str">
        <f>IF(LEN(TRIM('4 доп.сведения'!C36))=0," ",'4 доп.сведения'!C36)</f>
        <v xml:space="preserve"> </v>
      </c>
      <c r="AP97" s="179"/>
      <c r="AQ97" s="179"/>
      <c r="AR97" s="179"/>
      <c r="AS97" s="179"/>
      <c r="AT97" s="179"/>
      <c r="AU97" s="179"/>
      <c r="AV97" s="179"/>
      <c r="AW97" s="179"/>
      <c r="AX97" s="179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34"/>
      <c r="AM98" s="34"/>
      <c r="AN98" s="34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3" t="str">
        <f>IF(LEN(TRIM('4 доп.сведения'!B37))=0," ",'4 доп.сведения'!B37)</f>
        <v xml:space="preserve"> </v>
      </c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34"/>
      <c r="AM99" s="34"/>
      <c r="AN99" s="34"/>
      <c r="AO99" s="179" t="str">
        <f>IF(LEN(TRIM('4 доп.сведения'!C37))=0," ",'4 доп.сведения'!C37)</f>
        <v xml:space="preserve"> </v>
      </c>
      <c r="AP99" s="179"/>
      <c r="AQ99" s="179"/>
      <c r="AR99" s="179"/>
      <c r="AS99" s="179"/>
      <c r="AT99" s="179"/>
      <c r="AU99" s="179"/>
      <c r="AV99" s="179"/>
      <c r="AW99" s="179"/>
      <c r="AX99" s="179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34"/>
      <c r="AM100" s="34"/>
      <c r="AN100" s="34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3" t="str">
        <f>IF(LEN(TRIM('4 доп.сведения'!B38))=0," ",'4 доп.сведения'!B38)</f>
        <v xml:space="preserve"> </v>
      </c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34"/>
      <c r="AM101" s="34"/>
      <c r="AN101" s="34"/>
      <c r="AO101" s="179" t="str">
        <f>IF(LEN(TRIM('4 доп.сведения'!C38))=0," ",'4 доп.сведения'!C38)</f>
        <v xml:space="preserve"> </v>
      </c>
      <c r="AP101" s="179"/>
      <c r="AQ101" s="179"/>
      <c r="AR101" s="179"/>
      <c r="AS101" s="179"/>
      <c r="AT101" s="179"/>
      <c r="AU101" s="179"/>
      <c r="AV101" s="179"/>
      <c r="AW101" s="179"/>
      <c r="AX101" s="179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34"/>
      <c r="AM102" s="34"/>
      <c r="AN102" s="34"/>
      <c r="AO102" s="179"/>
      <c r="AP102" s="179"/>
      <c r="AQ102" s="179"/>
      <c r="AR102" s="179"/>
      <c r="AS102" s="179"/>
      <c r="AT102" s="179"/>
      <c r="AU102" s="179"/>
      <c r="AV102" s="179"/>
      <c r="AW102" s="179"/>
      <c r="AX102" s="179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3" t="str">
        <f>IF(LEN(TRIM('4 доп.сведения'!B39))=0," ",'4 доп.сведения'!B39)</f>
        <v xml:space="preserve"> </v>
      </c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34"/>
      <c r="AM103" s="34"/>
      <c r="AN103" s="34"/>
      <c r="AO103" s="179" t="str">
        <f>IF(LEN(TRIM('4 доп.сведения'!C39))=0," ",'4 доп.сведения'!C39)</f>
        <v xml:space="preserve"> </v>
      </c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34"/>
      <c r="AM104" s="34"/>
      <c r="AN104" s="34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3" t="str">
        <f>IF(LEN(TRIM('4 доп.сведения'!B40))=0," ",'4 доп.сведения'!B40)</f>
        <v xml:space="preserve"> </v>
      </c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34"/>
      <c r="AM105" s="34"/>
      <c r="AN105" s="34"/>
      <c r="AO105" s="179" t="str">
        <f>IF(LEN(TRIM('4 доп.сведения'!C40))=0," ",'4 доп.сведения'!C40)</f>
        <v xml:space="preserve"> </v>
      </c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34"/>
      <c r="AM106" s="34"/>
      <c r="AN106" s="34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Социальный педагог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3" t="str">
        <f>IF(LEN(TRIM('4 доп.сведения'!B41))=0," ",'4 доп.сведения'!B41)</f>
        <v xml:space="preserve"> </v>
      </c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34"/>
      <c r="AM107" s="34"/>
      <c r="AN107" s="34"/>
      <c r="AO107" s="179" t="str">
        <f>IF(LEN(TRIM('4 доп.сведения'!C41))=0," ",'4 доп.сведения'!C41)</f>
        <v xml:space="preserve"> </v>
      </c>
      <c r="AP107" s="179"/>
      <c r="AQ107" s="179"/>
      <c r="AR107" s="179"/>
      <c r="AS107" s="179"/>
      <c r="AT107" s="179"/>
      <c r="AU107" s="179"/>
      <c r="AV107" s="179"/>
      <c r="AW107" s="179"/>
      <c r="AX107" s="179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34"/>
      <c r="AM108" s="34"/>
      <c r="AN108" s="34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3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3" t="str">
        <f>IF(LEN(TRIM('5 Доп сведения'!C4))=0," ",'5 Доп сведения'!C4)</f>
        <v>Форма обучения: очная</v>
      </c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3" t="str">
        <f>IF(LEN(TRIM('5 Доп сведения'!C5))=0," ",'5 Доп сведения'!C5)</f>
        <v xml:space="preserve"> </v>
      </c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3" t="str">
        <f>IF(LEN(TRIM('5 Доп сведения'!C6))=0," ",'5 Доп сведения'!C6)</f>
        <v xml:space="preserve"> </v>
      </c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3" t="str">
        <f>IF(LEN(TRIM('5 Доп сведения'!C7))=0," ",'5 Доп сведения'!C7)</f>
        <v xml:space="preserve"> </v>
      </c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3" t="str">
        <f>IF(LEN(TRIM('5 Доп сведения'!C8))=0," ",'5 Доп сведения'!C8)</f>
        <v xml:space="preserve"> </v>
      </c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3" t="str">
        <f>IF(LEN(TRIM('5 Доп сведения'!C9))=0," ",'5 Доп сведения'!C9)</f>
        <v xml:space="preserve"> </v>
      </c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42"/>
      <c r="BA129" s="30"/>
      <c r="BB129" s="30"/>
      <c r="BC129" s="30"/>
      <c r="BD129" s="30"/>
      <c r="BE129" s="164" t="str">
        <f>Диплом!B5 &amp;" " &amp;Диплом!B6</f>
        <v>специалиста с отличием</v>
      </c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42"/>
      <c r="BA130" s="30"/>
      <c r="BB130" s="30"/>
      <c r="BC130" s="30"/>
      <c r="BD130" s="30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3" t="str">
        <f>IF(LEN(TRIM('5 Доп сведения'!C10))=0," ",'5 Доп сведения'!C10)</f>
        <v xml:space="preserve"> </v>
      </c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44"/>
      <c r="BA131" s="30"/>
      <c r="BB131" s="30"/>
      <c r="BC131" s="30"/>
      <c r="BD131" s="30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  <c r="BQ131" s="164"/>
      <c r="BR131" s="164"/>
      <c r="BS131" s="164"/>
      <c r="BT131" s="164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3" t="str">
        <f>IF(LEN(TRIM('5 Доп сведения'!C11))=0," ",'5 Доп сведения'!C11)</f>
        <v xml:space="preserve"> </v>
      </c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3" t="str">
        <f>IF(LEN(TRIM('5 Доп сведения'!C12))=0," ",'5 Доп сведения'!C12)</f>
        <v xml:space="preserve"> </v>
      </c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30"/>
      <c r="BA136" s="30"/>
      <c r="BB136" s="30"/>
      <c r="BC136" s="40"/>
      <c r="BD136" s="40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  <c r="BQ136" s="164"/>
      <c r="BR136" s="164"/>
      <c r="BS136" s="164"/>
      <c r="BT136" s="164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3" t="str">
        <f>IF(LEN(TRIM('5 Доп сведения'!C13))=0," ",'5 Доп сведения'!C13)</f>
        <v xml:space="preserve"> </v>
      </c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30"/>
      <c r="BA137" s="30"/>
      <c r="BB137" s="30"/>
      <c r="BC137" s="40"/>
      <c r="BD137" s="40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  <c r="BQ137" s="164"/>
      <c r="BR137" s="164"/>
      <c r="BS137" s="164"/>
      <c r="BT137" s="164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30"/>
      <c r="BA138" s="30"/>
      <c r="BB138" s="30"/>
      <c r="BC138" s="40"/>
      <c r="BD138" s="40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  <c r="BQ138" s="164"/>
      <c r="BR138" s="164"/>
      <c r="BS138" s="164"/>
      <c r="BT138" s="164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4"/>
      <c r="BF139" s="164"/>
      <c r="BG139" s="164"/>
      <c r="BH139" s="164"/>
      <c r="BI139" s="164"/>
      <c r="BJ139" s="164"/>
      <c r="BK139" s="164"/>
      <c r="BL139" s="164"/>
      <c r="BM139" s="164"/>
      <c r="BN139" s="164"/>
      <c r="BO139" s="164"/>
      <c r="BP139" s="164"/>
      <c r="BQ139" s="164"/>
      <c r="BR139" s="164"/>
      <c r="BS139" s="164"/>
      <c r="BT139" s="164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4"/>
      <c r="BF140" s="164"/>
      <c r="BG140" s="164"/>
      <c r="BH140" s="164"/>
      <c r="BI140" s="164"/>
      <c r="BJ140" s="164"/>
      <c r="BK140" s="164"/>
      <c r="BL140" s="164"/>
      <c r="BM140" s="164"/>
      <c r="BN140" s="164"/>
      <c r="BO140" s="164"/>
      <c r="BP140" s="164"/>
      <c r="BQ140" s="164"/>
      <c r="BR140" s="164"/>
      <c r="BS140" s="164"/>
      <c r="BT140" s="164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4"/>
      <c r="BF141" s="164"/>
      <c r="BG141" s="164"/>
      <c r="BH141" s="164"/>
      <c r="BI141" s="164"/>
      <c r="BJ141" s="164"/>
      <c r="BK141" s="164"/>
      <c r="BL141" s="164"/>
      <c r="BM141" s="164"/>
      <c r="BN141" s="164"/>
      <c r="BO141" s="164"/>
      <c r="BP141" s="164"/>
      <c r="BQ141" s="164"/>
      <c r="BR141" s="164"/>
      <c r="BS141" s="164"/>
      <c r="BT141" s="164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4"/>
      <c r="BF142" s="164"/>
      <c r="BG142" s="164"/>
      <c r="BH142" s="164"/>
      <c r="BI142" s="164"/>
      <c r="BJ142" s="164"/>
      <c r="BK142" s="164"/>
      <c r="BL142" s="164"/>
      <c r="BM142" s="164"/>
      <c r="BN142" s="164"/>
      <c r="BO142" s="164"/>
      <c r="BP142" s="164"/>
      <c r="BQ142" s="164"/>
      <c r="BR142" s="164"/>
      <c r="BS142" s="164"/>
      <c r="BT142" s="164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  <c r="BQ143" s="164"/>
      <c r="BR143" s="164"/>
      <c r="BS143" s="164"/>
      <c r="BT143" s="164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1" t="str">
        <f>Диплом!B9</f>
        <v>А.А. Марголис</v>
      </c>
      <c r="AG148" s="181"/>
      <c r="AH148" s="181"/>
      <c r="AI148" s="181"/>
      <c r="AJ148" s="181"/>
      <c r="AK148" s="181"/>
      <c r="AL148" s="181"/>
      <c r="AM148" s="181"/>
      <c r="AN148" s="181"/>
      <c r="AO148" s="181"/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1"/>
      <c r="AG149" s="181"/>
      <c r="AH149" s="181"/>
      <c r="AI149" s="181"/>
      <c r="AJ149" s="181"/>
      <c r="AK149" s="181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1"/>
      <c r="AG150" s="181"/>
      <c r="AH150" s="181"/>
      <c r="AI150" s="181"/>
      <c r="AJ150" s="181"/>
      <c r="AK150" s="181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1"/>
      <c r="AV150" s="181"/>
      <c r="AW150" s="181"/>
      <c r="AX150" s="181"/>
      <c r="AY150" s="181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1"/>
      <c r="AG151" s="181"/>
      <c r="AH151" s="181"/>
      <c r="AI151" s="181"/>
      <c r="AJ151" s="181"/>
      <c r="AK151" s="181"/>
      <c r="AL151" s="181"/>
      <c r="AM151" s="181"/>
      <c r="AN151" s="181"/>
      <c r="AO151" s="181"/>
      <c r="AP151" s="181"/>
      <c r="AQ151" s="181"/>
      <c r="AR151" s="181"/>
      <c r="AS151" s="181"/>
      <c r="AT151" s="181"/>
      <c r="AU151" s="181"/>
      <c r="AV151" s="181"/>
      <c r="AW151" s="181"/>
      <c r="AX151" s="181"/>
      <c r="AY151" s="181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4" t="str">
        <f>Диплом!B7</f>
        <v>XXXX/Б24</v>
      </c>
      <c r="BF152" s="164"/>
      <c r="BG152" s="164"/>
      <c r="BH152" s="164"/>
      <c r="BI152" s="164"/>
      <c r="BJ152" s="164"/>
      <c r="BK152" s="164"/>
      <c r="BL152" s="164"/>
      <c r="BM152" s="164"/>
      <c r="BN152" s="164"/>
      <c r="BO152" s="164"/>
      <c r="BP152" s="164"/>
      <c r="BQ152" s="164"/>
      <c r="BR152" s="164"/>
      <c r="BS152" s="164"/>
      <c r="BT152" s="164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  <c r="BQ153" s="164"/>
      <c r="BR153" s="164"/>
      <c r="BS153" s="164"/>
      <c r="BT153" s="164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4"/>
      <c r="BF154" s="164"/>
      <c r="BG154" s="164"/>
      <c r="BH154" s="164"/>
      <c r="BI154" s="164"/>
      <c r="BJ154" s="164"/>
      <c r="BK154" s="164"/>
      <c r="BL154" s="164"/>
      <c r="BM154" s="164"/>
      <c r="BN154" s="164"/>
      <c r="BO154" s="164"/>
      <c r="BP154" s="164"/>
      <c r="BQ154" s="164"/>
      <c r="BR154" s="164"/>
      <c r="BS154" s="164"/>
      <c r="BT154" s="164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4"/>
      <c r="BF155" s="164"/>
      <c r="BG155" s="164"/>
      <c r="BH155" s="164"/>
      <c r="BI155" s="164"/>
      <c r="BJ155" s="164"/>
      <c r="BK155" s="164"/>
      <c r="BL155" s="164"/>
      <c r="BM155" s="164"/>
      <c r="BN155" s="164"/>
      <c r="BO155" s="164"/>
      <c r="BP155" s="164"/>
      <c r="BQ155" s="164"/>
      <c r="BR155" s="164"/>
      <c r="BS155" s="164"/>
      <c r="BT155" s="164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80" t="str">
        <f>Диплом!B8</f>
        <v>XX июня 2024 года</v>
      </c>
      <c r="BF165" s="180"/>
      <c r="BG165" s="180"/>
      <c r="BH165" s="180"/>
      <c r="BI165" s="180"/>
      <c r="BJ165" s="180"/>
      <c r="BK165" s="180"/>
      <c r="BL165" s="180"/>
      <c r="BM165" s="180"/>
      <c r="BN165" s="180"/>
      <c r="BO165" s="180"/>
      <c r="BP165" s="180"/>
      <c r="BQ165" s="180"/>
      <c r="BR165" s="180"/>
      <c r="BS165" s="180"/>
      <c r="BT165" s="18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80"/>
      <c r="BF166" s="180"/>
      <c r="BG166" s="180"/>
      <c r="BH166" s="180"/>
      <c r="BI166" s="180"/>
      <c r="BJ166" s="180"/>
      <c r="BK166" s="180"/>
      <c r="BL166" s="180"/>
      <c r="BM166" s="180"/>
      <c r="BN166" s="180"/>
      <c r="BO166" s="180"/>
      <c r="BP166" s="180"/>
      <c r="BQ166" s="180"/>
      <c r="BR166" s="180"/>
      <c r="BS166" s="180"/>
      <c r="BT166" s="180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80"/>
      <c r="BF167" s="180"/>
      <c r="BG167" s="180"/>
      <c r="BH167" s="180"/>
      <c r="BI167" s="180"/>
      <c r="BJ167" s="180"/>
      <c r="BK167" s="180"/>
      <c r="BL167" s="180"/>
      <c r="BM167" s="180"/>
      <c r="BN167" s="180"/>
      <c r="BO167" s="180"/>
      <c r="BP167" s="180"/>
      <c r="BQ167" s="180"/>
      <c r="BR167" s="180"/>
      <c r="BS167" s="180"/>
      <c r="BT167" s="180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4" t="str">
        <f>IF(LEN(TRIM('3 Освоение программы'!B67))=0," ",'3 Освоение программы'!B67)</f>
        <v>Дисциплина 66</v>
      </c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93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93"/>
      <c r="AW13" s="173" t="str">
        <f>IF(LEN(TRIM('3 Освоение программы'!D67))=0," ",'3 Освоение программы'!D67)</f>
        <v>оценка</v>
      </c>
      <c r="AX13" s="173"/>
      <c r="AY13" s="173"/>
      <c r="AZ13" s="173"/>
      <c r="BA13" s="173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4" t="str">
        <f>IF(LEN(TRIM('3 Освоение программы'!B68))=0," ",'3 Освоение программы'!B68)</f>
        <v>Дисциплина 67</v>
      </c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93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93"/>
      <c r="AW14" s="173" t="str">
        <f>IF(LEN(TRIM('3 Освоение программы'!D68))=0," ",'3 Освоение программы'!D68)</f>
        <v>оценка</v>
      </c>
      <c r="AX14" s="173"/>
      <c r="AY14" s="173"/>
      <c r="AZ14" s="173"/>
      <c r="BA14" s="173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4" t="str">
        <f>IF(LEN(TRIM('3 Освоение программы'!B69))=0," ",'3 Освоение программы'!B69)</f>
        <v>Дисциплина 68</v>
      </c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93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93"/>
      <c r="AW15" s="173" t="str">
        <f>IF(LEN(TRIM('3 Освоение программы'!D69))=0," ",'3 Освоение программы'!D69)</f>
        <v>оценка</v>
      </c>
      <c r="AX15" s="173"/>
      <c r="AY15" s="173"/>
      <c r="AZ15" s="173"/>
      <c r="BA15" s="173"/>
      <c r="BB15" s="90"/>
      <c r="BC15" s="104"/>
    </row>
    <row r="16" spans="1:55" ht="9.9499999999999993" customHeight="1" x14ac:dyDescent="0.25">
      <c r="A16" s="91"/>
      <c r="B16" s="90"/>
      <c r="C16" s="175" t="str">
        <f>IF(LEN(TRIM('3 Освоение программы'!B2))=0," ",'3 Освоение программы'!B2)</f>
        <v>Дисциплина 1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15"/>
      <c r="P16" s="172" t="str">
        <f>IF(LEN(TRIM('3 Освоение программы'!C2))=0," ",'3 Освоение программы'!C2)</f>
        <v>?? з.е.</v>
      </c>
      <c r="Q16" s="172"/>
      <c r="R16" s="172"/>
      <c r="S16" s="114"/>
      <c r="T16" s="114"/>
      <c r="U16" s="172" t="str">
        <f>IF(LEN(TRIM('3 Освоение программы'!D2))=0," ",'3 Освоение программы'!D2)</f>
        <v>оценка</v>
      </c>
      <c r="V16" s="172"/>
      <c r="W16" s="172"/>
      <c r="X16" s="172"/>
      <c r="Y16" s="90"/>
      <c r="Z16" s="90"/>
      <c r="AA16" s="90"/>
      <c r="AB16" s="90"/>
      <c r="AC16" s="90"/>
      <c r="AD16" s="90"/>
      <c r="AE16" s="184" t="str">
        <f>IF(LEN(TRIM('3 Освоение программы'!B70))=0," ",'3 Освоение программы'!B70)</f>
        <v>Дисциплина 69</v>
      </c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93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93"/>
      <c r="AW16" s="173" t="str">
        <f>IF(LEN(TRIM('3 Освоение программы'!D70))=0," ",'3 Освоение программы'!D70)</f>
        <v>оценка</v>
      </c>
      <c r="AX16" s="173"/>
      <c r="AY16" s="173"/>
      <c r="AZ16" s="173"/>
      <c r="BA16" s="173"/>
      <c r="BB16" s="90"/>
      <c r="BC16" s="104"/>
    </row>
    <row r="17" spans="1:55" ht="9.9499999999999993" customHeight="1" x14ac:dyDescent="0.25">
      <c r="A17" s="91"/>
      <c r="B17" s="90"/>
      <c r="C17" s="175" t="str">
        <f>IF(LEN(TRIM('3 Освоение программы'!B3))=0," ",'3 Освоение программы'!B3)</f>
        <v>Дисциплина 2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15"/>
      <c r="P17" s="172" t="str">
        <f>IF(LEN(TRIM('3 Освоение программы'!C3))=0," ",'3 Освоение программы'!C3)</f>
        <v>?? з.е.</v>
      </c>
      <c r="Q17" s="172"/>
      <c r="R17" s="172"/>
      <c r="S17" s="114"/>
      <c r="T17" s="114"/>
      <c r="U17" s="172" t="str">
        <f>IF(LEN(TRIM('3 Освоение программы'!D3))=0," ",'3 Освоение программы'!D3)</f>
        <v>оценка</v>
      </c>
      <c r="V17" s="172"/>
      <c r="W17" s="172"/>
      <c r="X17" s="172"/>
      <c r="Y17" s="90"/>
      <c r="Z17" s="90"/>
      <c r="AA17" s="90"/>
      <c r="AB17" s="90"/>
      <c r="AC17" s="90"/>
      <c r="AD17" s="90"/>
      <c r="AE17" s="184" t="str">
        <f>IF(LEN(TRIM('3 Освоение программы'!B71))=0," ",'3 Освоение программы'!B71)</f>
        <v>Дисциплина 70</v>
      </c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93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93"/>
      <c r="AW17" s="173" t="str">
        <f>IF(LEN(TRIM('3 Освоение программы'!D71))=0," ",'3 Освоение программы'!D71)</f>
        <v>оценка</v>
      </c>
      <c r="AX17" s="173"/>
      <c r="AY17" s="173"/>
      <c r="AZ17" s="173"/>
      <c r="BA17" s="173"/>
      <c r="BB17" s="90"/>
      <c r="BC17" s="104"/>
    </row>
    <row r="18" spans="1:55" ht="9.9499999999999993" customHeight="1" x14ac:dyDescent="0.25">
      <c r="A18" s="91"/>
      <c r="B18" s="90"/>
      <c r="C18" s="175" t="str">
        <f>IF(LEN(TRIM('3 Освоение программы'!B4))=0," ",'3 Освоение программы'!B4)</f>
        <v>Дисциплина 3</v>
      </c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15"/>
      <c r="P18" s="172" t="str">
        <f>IF(LEN(TRIM('3 Освоение программы'!C4))=0," ",'3 Освоение программы'!C4)</f>
        <v>?? з.е.</v>
      </c>
      <c r="Q18" s="172"/>
      <c r="R18" s="172"/>
      <c r="S18" s="114"/>
      <c r="T18" s="114"/>
      <c r="U18" s="172" t="str">
        <f>IF(LEN(TRIM('3 Освоение программы'!D4))=0," ",'3 Освоение программы'!D4)</f>
        <v>оценка</v>
      </c>
      <c r="V18" s="172"/>
      <c r="W18" s="172"/>
      <c r="X18" s="172"/>
      <c r="Y18" s="90"/>
      <c r="Z18" s="90"/>
      <c r="AA18" s="90"/>
      <c r="AB18" s="90"/>
      <c r="AC18" s="90"/>
      <c r="AD18" s="90"/>
      <c r="AE18" s="184" t="str">
        <f>IF(LEN(TRIM('3 Освоение программы'!B72))=0," ",'3 Освоение программы'!B72)</f>
        <v>Практики</v>
      </c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93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93"/>
      <c r="AW18" s="173" t="str">
        <f>IF(LEN(TRIM('3 Освоение программы'!D72))=0," ",'3 Освоение программы'!D72)</f>
        <v>x</v>
      </c>
      <c r="AX18" s="173"/>
      <c r="AY18" s="173"/>
      <c r="AZ18" s="173"/>
      <c r="BA18" s="173"/>
      <c r="BB18" s="90"/>
      <c r="BC18" s="104"/>
    </row>
    <row r="19" spans="1:55" ht="9.9499999999999993" customHeight="1" x14ac:dyDescent="0.25">
      <c r="A19" s="91"/>
      <c r="B19" s="90"/>
      <c r="C19" s="175" t="str">
        <f>IF(LEN(TRIM('3 Освоение программы'!B5))=0," ",'3 Освоение программы'!B5)</f>
        <v>Дисциплина 4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15"/>
      <c r="P19" s="172" t="str">
        <f>IF(LEN(TRIM('3 Освоение программы'!C5))=0," ",'3 Освоение программы'!C5)</f>
        <v>?? з.е.</v>
      </c>
      <c r="Q19" s="172"/>
      <c r="R19" s="172"/>
      <c r="S19" s="114"/>
      <c r="T19" s="114"/>
      <c r="U19" s="172" t="str">
        <f>IF(LEN(TRIM('3 Освоение программы'!D5))=0," ",'3 Освоение программы'!D5)</f>
        <v>оценка</v>
      </c>
      <c r="V19" s="172"/>
      <c r="W19" s="172"/>
      <c r="X19" s="172"/>
      <c r="Y19" s="90"/>
      <c r="Z19" s="90"/>
      <c r="AA19" s="90"/>
      <c r="AB19" s="90"/>
      <c r="AC19" s="90"/>
      <c r="AD19" s="90"/>
      <c r="AE19" s="184" t="str">
        <f>IF(LEN(TRIM('3 Освоение программы'!B73))=0," ",'3 Освоение программы'!B73)</f>
        <v>в том числе:</v>
      </c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93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93"/>
      <c r="AW19" s="173" t="str">
        <f>IF(LEN(TRIM('3 Освоение программы'!D73))=0," ",'3 Освоение программы'!D73)</f>
        <v xml:space="preserve"> </v>
      </c>
      <c r="AX19" s="173"/>
      <c r="AY19" s="173"/>
      <c r="AZ19" s="173"/>
      <c r="BA19" s="173"/>
      <c r="BB19" s="90"/>
      <c r="BC19" s="104"/>
    </row>
    <row r="20" spans="1:55" ht="9.9499999999999993" customHeight="1" x14ac:dyDescent="0.25">
      <c r="A20" s="91"/>
      <c r="B20" s="90"/>
      <c r="C20" s="175" t="str">
        <f>IF(LEN(TRIM('3 Освоение программы'!B6))=0," ",'3 Освоение программы'!B6)</f>
        <v>Дисциплина 5</v>
      </c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15"/>
      <c r="P20" s="172" t="str">
        <f>IF(LEN(TRIM('3 Освоение программы'!C6))=0," ",'3 Освоение программы'!C6)</f>
        <v>?? з.е.</v>
      </c>
      <c r="Q20" s="172"/>
      <c r="R20" s="172"/>
      <c r="S20" s="114"/>
      <c r="T20" s="114"/>
      <c r="U20" s="172" t="str">
        <f>IF(LEN(TRIM('3 Освоение программы'!D6))=0," ",'3 Освоение программы'!D6)</f>
        <v>оценка</v>
      </c>
      <c r="V20" s="172"/>
      <c r="W20" s="172"/>
      <c r="X20" s="172"/>
      <c r="Y20" s="90"/>
      <c r="Z20" s="90"/>
      <c r="AA20" s="90"/>
      <c r="AB20" s="90"/>
      <c r="AC20" s="90"/>
      <c r="AD20" s="90"/>
      <c r="AE20" s="184" t="str">
        <f>IF(LEN(TRIM('3 Освоение программы'!B74))=0," ",'3 Освоение программы'!B74)</f>
        <v>Вид практики, тип практики</v>
      </c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93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93"/>
      <c r="AW20" s="173" t="str">
        <f>IF(LEN(TRIM('3 Освоение программы'!D74))=0," ",'3 Освоение программы'!D74)</f>
        <v>оценка</v>
      </c>
      <c r="AX20" s="173"/>
      <c r="AY20" s="173"/>
      <c r="AZ20" s="173"/>
      <c r="BA20" s="173"/>
      <c r="BB20" s="90"/>
      <c r="BC20" s="104"/>
    </row>
    <row r="21" spans="1:55" ht="9.9499999999999993" customHeight="1" x14ac:dyDescent="0.25">
      <c r="A21" s="91"/>
      <c r="B21" s="90"/>
      <c r="C21" s="175" t="str">
        <f>IF(LEN(TRIM('3 Освоение программы'!B7))=0," ",'3 Освоение программы'!B7)</f>
        <v>Дисциплина 6</v>
      </c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15"/>
      <c r="P21" s="172" t="str">
        <f>IF(LEN(TRIM('3 Освоение программы'!C7))=0," ",'3 Освоение программы'!C7)</f>
        <v>?? з.е.</v>
      </c>
      <c r="Q21" s="172"/>
      <c r="R21" s="172"/>
      <c r="S21" s="114"/>
      <c r="T21" s="114"/>
      <c r="U21" s="172" t="str">
        <f>IF(LEN(TRIM('3 Освоение программы'!D7))=0," ",'3 Освоение программы'!D7)</f>
        <v>оценка</v>
      </c>
      <c r="V21" s="172"/>
      <c r="W21" s="172"/>
      <c r="X21" s="172"/>
      <c r="Y21" s="90"/>
      <c r="Z21" s="90"/>
      <c r="AA21" s="90"/>
      <c r="AB21" s="90"/>
      <c r="AC21" s="90"/>
      <c r="AD21" s="90"/>
      <c r="AE21" s="184" t="str">
        <f>IF(LEN(TRIM('3 Освоение программы'!B75))=0," ",'3 Освоение программы'!B75)</f>
        <v>Вид практики, тип практики</v>
      </c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93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93"/>
      <c r="AW21" s="173" t="str">
        <f>IF(LEN(TRIM('3 Освоение программы'!D75))=0," ",'3 Освоение программы'!D75)</f>
        <v>оценка</v>
      </c>
      <c r="AX21" s="173"/>
      <c r="AY21" s="173"/>
      <c r="AZ21" s="173"/>
      <c r="BA21" s="173"/>
      <c r="BB21" s="90"/>
      <c r="BC21" s="104"/>
    </row>
    <row r="22" spans="1:55" ht="9.9499999999999993" customHeight="1" x14ac:dyDescent="0.25">
      <c r="A22" s="91"/>
      <c r="B22" s="90"/>
      <c r="C22" s="175" t="str">
        <f>IF(LEN(TRIM('3 Освоение программы'!B8))=0," ",'3 Освоение программы'!B8)</f>
        <v>Дисциплина 7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15"/>
      <c r="P22" s="172" t="str">
        <f>IF(LEN(TRIM('3 Освоение программы'!C8))=0," ",'3 Освоение программы'!C8)</f>
        <v>?? з.е.</v>
      </c>
      <c r="Q22" s="172"/>
      <c r="R22" s="172"/>
      <c r="S22" s="114"/>
      <c r="T22" s="114"/>
      <c r="U22" s="172" t="str">
        <f>IF(LEN(TRIM('3 Освоение программы'!D8))=0," ",'3 Освоение программы'!D8)</f>
        <v>оценка</v>
      </c>
      <c r="V22" s="172"/>
      <c r="W22" s="172"/>
      <c r="X22" s="172"/>
      <c r="Y22" s="90"/>
      <c r="Z22" s="90"/>
      <c r="AA22" s="90"/>
      <c r="AB22" s="90"/>
      <c r="AC22" s="90"/>
      <c r="AD22" s="90"/>
      <c r="AE22" s="184" t="str">
        <f>IF(LEN(TRIM('3 Освоение программы'!B76))=0," ",'3 Освоение программы'!B76)</f>
        <v>Вид практики, тип практики</v>
      </c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93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93"/>
      <c r="AW22" s="173" t="str">
        <f>IF(LEN(TRIM('3 Освоение программы'!D76))=0," ",'3 Освоение программы'!D76)</f>
        <v>оценка</v>
      </c>
      <c r="AX22" s="173"/>
      <c r="AY22" s="173"/>
      <c r="AZ22" s="173"/>
      <c r="BA22" s="173"/>
      <c r="BB22" s="90"/>
      <c r="BC22" s="104"/>
    </row>
    <row r="23" spans="1:55" ht="9.9499999999999993" customHeight="1" x14ac:dyDescent="0.25">
      <c r="A23" s="91"/>
      <c r="B23" s="90"/>
      <c r="C23" s="175" t="str">
        <f>IF(LEN(TRIM('3 Освоение программы'!B9))=0," ",'3 Освоение программы'!B9)</f>
        <v>Дисциплина 8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15"/>
      <c r="P23" s="172" t="str">
        <f>IF(LEN(TRIM('3 Освоение программы'!C9))=0," ",'3 Освоение программы'!C9)</f>
        <v>?? з.е.</v>
      </c>
      <c r="Q23" s="172"/>
      <c r="R23" s="172"/>
      <c r="S23" s="114"/>
      <c r="T23" s="114"/>
      <c r="U23" s="172" t="str">
        <f>IF(LEN(TRIM('3 Освоение программы'!D9))=0," ",'3 Освоение программы'!D9)</f>
        <v>оценка</v>
      </c>
      <c r="V23" s="172"/>
      <c r="W23" s="172"/>
      <c r="X23" s="172"/>
      <c r="Y23" s="90"/>
      <c r="Z23" s="90"/>
      <c r="AA23" s="90"/>
      <c r="AB23" s="90"/>
      <c r="AC23" s="90"/>
      <c r="AD23" s="90"/>
      <c r="AE23" s="184" t="str">
        <f>IF(LEN(TRIM('3 Освоение программы'!B77))=0," ",'3 Освоение программы'!B77)</f>
        <v>Вид практики, тип практики</v>
      </c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93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93"/>
      <c r="AW23" s="173" t="str">
        <f>IF(LEN(TRIM('3 Освоение программы'!D77))=0," ",'3 Освоение программы'!D77)</f>
        <v>оценка</v>
      </c>
      <c r="AX23" s="173"/>
      <c r="AY23" s="173"/>
      <c r="AZ23" s="173"/>
      <c r="BA23" s="173"/>
      <c r="BB23" s="90"/>
      <c r="BC23" s="104"/>
    </row>
    <row r="24" spans="1:55" ht="9.9499999999999993" customHeight="1" x14ac:dyDescent="0.25">
      <c r="A24" s="91"/>
      <c r="B24" s="90"/>
      <c r="C24" s="175" t="str">
        <f>IF(LEN(TRIM('3 Освоение программы'!B10))=0," ",'3 Освоение программы'!B10)</f>
        <v>Дисциплина 9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15"/>
      <c r="P24" s="172" t="str">
        <f>IF(LEN(TRIM('3 Освоение программы'!C10))=0," ",'3 Освоение программы'!C10)</f>
        <v>?? з.е.</v>
      </c>
      <c r="Q24" s="172"/>
      <c r="R24" s="172"/>
      <c r="S24" s="114"/>
      <c r="T24" s="114"/>
      <c r="U24" s="172" t="str">
        <f>IF(LEN(TRIM('3 Освоение программы'!D10))=0," ",'3 Освоение программы'!D10)</f>
        <v>оценка</v>
      </c>
      <c r="V24" s="172"/>
      <c r="W24" s="172"/>
      <c r="X24" s="172"/>
      <c r="Y24" s="90"/>
      <c r="Z24" s="90"/>
      <c r="AA24" s="90"/>
      <c r="AB24" s="90"/>
      <c r="AC24" s="90"/>
      <c r="AD24" s="90"/>
      <c r="AE24" s="184" t="str">
        <f>IF(LEN(TRIM('3 Освоение программы'!B78))=0," ",'3 Освоение программы'!B78)</f>
        <v>Вид практики, тип практики</v>
      </c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93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93"/>
      <c r="AW24" s="173" t="str">
        <f>IF(LEN(TRIM('3 Освоение программы'!D78))=0," ",'3 Освоение программы'!D78)</f>
        <v>оценка</v>
      </c>
      <c r="AX24" s="173"/>
      <c r="AY24" s="173"/>
      <c r="AZ24" s="173"/>
      <c r="BA24" s="173"/>
      <c r="BB24" s="90"/>
      <c r="BC24" s="104"/>
    </row>
    <row r="25" spans="1:55" ht="9.9499999999999993" customHeight="1" x14ac:dyDescent="0.25">
      <c r="A25" s="91"/>
      <c r="B25" s="90"/>
      <c r="C25" s="175" t="str">
        <f>IF(LEN(TRIM('3 Освоение программы'!B11))=0," ",'3 Освоение программы'!B11)</f>
        <v>Дисциплина 10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15"/>
      <c r="P25" s="172" t="str">
        <f>IF(LEN(TRIM('3 Освоение программы'!C11))=0," ",'3 Освоение программы'!C11)</f>
        <v>?? з.е.</v>
      </c>
      <c r="Q25" s="172"/>
      <c r="R25" s="172"/>
      <c r="S25" s="114"/>
      <c r="T25" s="114"/>
      <c r="U25" s="172" t="str">
        <f>IF(LEN(TRIM('3 Освоение программы'!D11))=0," ",'3 Освоение программы'!D11)</f>
        <v>оценка</v>
      </c>
      <c r="V25" s="172"/>
      <c r="W25" s="172"/>
      <c r="X25" s="172"/>
      <c r="Y25" s="90"/>
      <c r="Z25" s="90"/>
      <c r="AA25" s="90"/>
      <c r="AB25" s="90"/>
      <c r="AC25" s="90"/>
      <c r="AD25" s="90"/>
      <c r="AE25" s="184" t="str">
        <f>IF(LEN(TRIM('3 Освоение программы'!B79))=0," ",'3 Освоение программы'!B79)</f>
        <v>Государственная итоговая аттестация</v>
      </c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93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93"/>
      <c r="AW25" s="173" t="str">
        <f>IF(LEN(TRIM('3 Освоение программы'!D79))=0," ",'3 Освоение программы'!D79)</f>
        <v>х</v>
      </c>
      <c r="AX25" s="173"/>
      <c r="AY25" s="173"/>
      <c r="AZ25" s="173"/>
      <c r="BA25" s="173"/>
      <c r="BB25" s="90"/>
      <c r="BC25" s="104"/>
    </row>
    <row r="26" spans="1:55" ht="9.9499999999999993" customHeight="1" x14ac:dyDescent="0.25">
      <c r="A26" s="91"/>
      <c r="B26" s="90"/>
      <c r="C26" s="175" t="str">
        <f>IF(LEN(TRIM('3 Освоение программы'!B12))=0," ",'3 Освоение программы'!B12)</f>
        <v>Дисциплина 11</v>
      </c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15"/>
      <c r="P26" s="172" t="str">
        <f>IF(LEN(TRIM('3 Освоение программы'!C12))=0," ",'3 Освоение программы'!C12)</f>
        <v>?? з.е.</v>
      </c>
      <c r="Q26" s="172"/>
      <c r="R26" s="172"/>
      <c r="S26" s="114"/>
      <c r="T26" s="114"/>
      <c r="U26" s="172" t="str">
        <f>IF(LEN(TRIM('3 Освоение программы'!D12))=0," ",'3 Освоение программы'!D12)</f>
        <v>оценка</v>
      </c>
      <c r="V26" s="172"/>
      <c r="W26" s="172"/>
      <c r="X26" s="172"/>
      <c r="Y26" s="90"/>
      <c r="Z26" s="90"/>
      <c r="AA26" s="90"/>
      <c r="AB26" s="90"/>
      <c r="AC26" s="90"/>
      <c r="AD26" s="90"/>
      <c r="AE26" s="184" t="str">
        <f>IF(LEN(TRIM('3 Освоение программы'!B80))=0," ",'3 Освоение программы'!B80)</f>
        <v>в том числе:</v>
      </c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93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93"/>
      <c r="AW26" s="173" t="str">
        <f>IF(LEN(TRIM('3 Освоение программы'!D80))=0," ",'3 Освоение программы'!D80)</f>
        <v xml:space="preserve"> </v>
      </c>
      <c r="AX26" s="173"/>
      <c r="AY26" s="173"/>
      <c r="AZ26" s="173"/>
      <c r="BA26" s="173"/>
      <c r="BB26" s="90"/>
      <c r="BC26" s="104"/>
    </row>
    <row r="27" spans="1:55" ht="9.9499999999999993" customHeight="1" x14ac:dyDescent="0.25">
      <c r="A27" s="91"/>
      <c r="B27" s="90"/>
      <c r="C27" s="175" t="str">
        <f>IF(LEN(TRIM('3 Освоение программы'!B13))=0," ",'3 Освоение программы'!B13)</f>
        <v>Дисциплина 12</v>
      </c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15"/>
      <c r="P27" s="172" t="str">
        <f>IF(LEN(TRIM('3 Освоение программы'!C13))=0," ",'3 Освоение программы'!C13)</f>
        <v>?? з.е.</v>
      </c>
      <c r="Q27" s="172"/>
      <c r="R27" s="172"/>
      <c r="S27" s="114"/>
      <c r="T27" s="114"/>
      <c r="U27" s="172" t="str">
        <f>IF(LEN(TRIM('3 Освоение программы'!D13))=0," ",'3 Освоение программы'!D13)</f>
        <v>оценка</v>
      </c>
      <c r="V27" s="172"/>
      <c r="W27" s="172"/>
      <c r="X27" s="172"/>
      <c r="Y27" s="90"/>
      <c r="Z27" s="90"/>
      <c r="AA27" s="90"/>
      <c r="AB27" s="90"/>
      <c r="AC27" s="90"/>
      <c r="AD27" s="90"/>
      <c r="AE27" s="18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93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93"/>
      <c r="AW27" s="173" t="str">
        <f>IF(LEN(TRIM('3 Освоение программы'!D81))=0," ",'3 Освоение программы'!D81)</f>
        <v xml:space="preserve"> </v>
      </c>
      <c r="AX27" s="173"/>
      <c r="AY27" s="173"/>
      <c r="AZ27" s="173"/>
      <c r="BA27" s="173"/>
      <c r="BB27" s="90"/>
      <c r="BC27" s="104"/>
    </row>
    <row r="28" spans="1:55" ht="9.9499999999999993" customHeight="1" x14ac:dyDescent="0.25">
      <c r="A28" s="91"/>
      <c r="B28" s="90"/>
      <c r="C28" s="175" t="str">
        <f>IF(LEN(TRIM('3 Освоение программы'!B14))=0," ",'3 Освоение программы'!B14)</f>
        <v>Дисциплина 13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15"/>
      <c r="P28" s="172" t="str">
        <f>IF(LEN(TRIM('3 Освоение программы'!C14))=0," ",'3 Освоение программы'!C14)</f>
        <v>?? з.е.</v>
      </c>
      <c r="Q28" s="172"/>
      <c r="R28" s="172"/>
      <c r="S28" s="114"/>
      <c r="T28" s="114"/>
      <c r="U28" s="172" t="str">
        <f>IF(LEN(TRIM('3 Освоение программы'!D14))=0," ",'3 Освоение программы'!D14)</f>
        <v>оценка</v>
      </c>
      <c r="V28" s="172"/>
      <c r="W28" s="172"/>
      <c r="X28" s="172"/>
      <c r="Y28" s="90"/>
      <c r="Z28" s="90"/>
      <c r="AA28" s="90"/>
      <c r="AB28" s="90"/>
      <c r="AC28" s="90"/>
      <c r="AD28" s="90"/>
      <c r="AE28" s="184" t="str">
        <f>IF(LEN(TRIM('3 Освоение программы'!B82))=0," ",'3 Освоение программы'!B82)</f>
        <v>"Субъективное благополучие отстающих в обучении</v>
      </c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93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93"/>
      <c r="AW28" s="173" t="str">
        <f>IF(LEN(TRIM('3 Освоение программы'!D82))=0," ",'3 Освоение программы'!D82)</f>
        <v xml:space="preserve"> </v>
      </c>
      <c r="AX28" s="173"/>
      <c r="AY28" s="173"/>
      <c r="AZ28" s="173"/>
      <c r="BA28" s="173"/>
      <c r="BB28" s="90"/>
      <c r="BC28" s="104"/>
    </row>
    <row r="29" spans="1:55" ht="9.9499999999999993" customHeight="1" x14ac:dyDescent="0.25">
      <c r="A29" s="91"/>
      <c r="B29" s="90"/>
      <c r="C29" s="175" t="str">
        <f>IF(LEN(TRIM('3 Освоение программы'!B15))=0," ",'3 Освоение программы'!B15)</f>
        <v>Дисциплина 14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15"/>
      <c r="P29" s="172" t="str">
        <f>IF(LEN(TRIM('3 Освоение программы'!C15))=0," ",'3 Освоение программы'!C15)</f>
        <v>?? з.е.</v>
      </c>
      <c r="Q29" s="172"/>
      <c r="R29" s="172"/>
      <c r="S29" s="114"/>
      <c r="T29" s="114"/>
      <c r="U29" s="172" t="str">
        <f>IF(LEN(TRIM('3 Освоение программы'!D15))=0," ",'3 Освоение программы'!D15)</f>
        <v>оценка</v>
      </c>
      <c r="V29" s="172"/>
      <c r="W29" s="172"/>
      <c r="X29" s="172"/>
      <c r="Y29" s="90"/>
      <c r="Z29" s="90"/>
      <c r="AA29" s="90"/>
      <c r="AB29" s="90"/>
      <c r="AC29" s="90"/>
      <c r="AD29" s="90"/>
      <c r="AE29" s="184" t="str">
        <f>IF(LEN(TRIM('3 Освоение программы'!B83))=0," ",'3 Освоение программы'!B83)</f>
        <v>младших школьников"</v>
      </c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93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93"/>
      <c r="AW29" s="173" t="str">
        <f>IF(LEN(TRIM('3 Освоение программы'!D83))=0," ",'3 Освоение программы'!D83)</f>
        <v>оценка</v>
      </c>
      <c r="AX29" s="173"/>
      <c r="AY29" s="173"/>
      <c r="AZ29" s="173"/>
      <c r="BA29" s="173"/>
      <c r="BB29" s="90"/>
      <c r="BC29" s="104"/>
    </row>
    <row r="30" spans="1:55" ht="9.9499999999999993" customHeight="1" x14ac:dyDescent="0.25">
      <c r="A30" s="91"/>
      <c r="B30" s="90"/>
      <c r="C30" s="175" t="str">
        <f>IF(LEN(TRIM('3 Освоение программы'!B16))=0," ",'3 Освоение программы'!B16)</f>
        <v>Дисциплина 15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15"/>
      <c r="P30" s="172" t="str">
        <f>IF(LEN(TRIM('3 Освоение программы'!C16))=0," ",'3 Освоение программы'!C16)</f>
        <v>?? з.е.</v>
      </c>
      <c r="Q30" s="172"/>
      <c r="R30" s="172"/>
      <c r="S30" s="114"/>
      <c r="T30" s="114"/>
      <c r="U30" s="172" t="str">
        <f>IF(LEN(TRIM('3 Освоение программы'!D16))=0," ",'3 Освоение программы'!D16)</f>
        <v>оценка</v>
      </c>
      <c r="V30" s="172"/>
      <c r="W30" s="172"/>
      <c r="X30" s="172"/>
      <c r="Y30" s="90"/>
      <c r="Z30" s="90"/>
      <c r="AA30" s="90"/>
      <c r="AB30" s="90"/>
      <c r="AC30" s="90"/>
      <c r="AD30" s="90"/>
      <c r="AE30" s="184" t="str">
        <f>IF(LEN(TRIM('3 Освоение программы'!B84))=0," ",'3 Освоение программы'!B84)</f>
        <v>Объем образовательной программы</v>
      </c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93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93"/>
      <c r="AW30" s="173" t="str">
        <f>IF(LEN(TRIM('3 Освоение программы'!D84))=0," ",'3 Освоение программы'!D84)</f>
        <v>х</v>
      </c>
      <c r="AX30" s="173"/>
      <c r="AY30" s="173"/>
      <c r="AZ30" s="173"/>
      <c r="BA30" s="173"/>
      <c r="BB30" s="90"/>
      <c r="BC30" s="104"/>
    </row>
    <row r="31" spans="1:55" ht="9.9499999999999993" customHeight="1" x14ac:dyDescent="0.25">
      <c r="A31" s="91"/>
      <c r="B31" s="90"/>
      <c r="C31" s="175" t="str">
        <f>IF(LEN(TRIM('3 Освоение программы'!B17))=0," ",'3 Освоение программы'!B17)</f>
        <v>Дисциплина 16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15"/>
      <c r="P31" s="172" t="str">
        <f>IF(LEN(TRIM('3 Освоение программы'!C17))=0," ",'3 Освоение программы'!C17)</f>
        <v>?? з.е.</v>
      </c>
      <c r="Q31" s="172"/>
      <c r="R31" s="172"/>
      <c r="S31" s="114"/>
      <c r="T31" s="114"/>
      <c r="U31" s="172" t="str">
        <f>IF(LEN(TRIM('3 Освоение программы'!D17))=0," ",'3 Освоение программы'!D17)</f>
        <v>оценка</v>
      </c>
      <c r="V31" s="172"/>
      <c r="W31" s="172"/>
      <c r="X31" s="172"/>
      <c r="Y31" s="90"/>
      <c r="Z31" s="90"/>
      <c r="AA31" s="90"/>
      <c r="AB31" s="90"/>
      <c r="AC31" s="90"/>
      <c r="AD31" s="90"/>
      <c r="AE31" s="18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93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93"/>
      <c r="AW31" s="173" t="str">
        <f>IF(LEN(TRIM('3 Освоение программы'!D85))=0," ",'3 Освоение программы'!D85)</f>
        <v xml:space="preserve"> </v>
      </c>
      <c r="AX31" s="173"/>
      <c r="AY31" s="173"/>
      <c r="AZ31" s="173"/>
      <c r="BA31" s="173"/>
      <c r="BB31" s="90"/>
      <c r="BC31" s="104"/>
    </row>
    <row r="32" spans="1:55" ht="9.9499999999999993" customHeight="1" x14ac:dyDescent="0.25">
      <c r="A32" s="91"/>
      <c r="B32" s="90"/>
      <c r="C32" s="175" t="str">
        <f>IF(LEN(TRIM('3 Освоение программы'!B18))=0," ",'3 Освоение программы'!B18)</f>
        <v>Дисциплина 17</v>
      </c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15"/>
      <c r="P32" s="172" t="str">
        <f>IF(LEN(TRIM('3 Освоение программы'!C18))=0," ",'3 Освоение программы'!C18)</f>
        <v>?? з.е.</v>
      </c>
      <c r="Q32" s="172"/>
      <c r="R32" s="172"/>
      <c r="S32" s="114"/>
      <c r="T32" s="114"/>
      <c r="U32" s="172" t="str">
        <f>IF(LEN(TRIM('3 Освоение программы'!D18))=0," ",'3 Освоение программы'!D18)</f>
        <v>оценка</v>
      </c>
      <c r="V32" s="172"/>
      <c r="W32" s="172"/>
      <c r="X32" s="172"/>
      <c r="Y32" s="90"/>
      <c r="Z32" s="90"/>
      <c r="AA32" s="90"/>
      <c r="AB32" s="90"/>
      <c r="AC32" s="90"/>
      <c r="AD32" s="90"/>
      <c r="AE32" s="18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93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93"/>
      <c r="AW32" s="173" t="str">
        <f>IF(LEN(TRIM('3 Освоение программы'!D86))=0," ",'3 Освоение программы'!D86)</f>
        <v>х</v>
      </c>
      <c r="AX32" s="173"/>
      <c r="AY32" s="173"/>
      <c r="AZ32" s="173"/>
      <c r="BA32" s="173"/>
      <c r="BB32" s="90"/>
      <c r="BC32" s="104"/>
    </row>
    <row r="33" spans="1:55" ht="9.9499999999999993" customHeight="1" x14ac:dyDescent="0.25">
      <c r="A33" s="91"/>
      <c r="B33" s="90"/>
      <c r="C33" s="175" t="str">
        <f>IF(LEN(TRIM('3 Освоение программы'!B19))=0," ",'3 Освоение программы'!B19)</f>
        <v>Дисциплина 18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15"/>
      <c r="P33" s="172" t="str">
        <f>IF(LEN(TRIM('3 Освоение программы'!C19))=0," ",'3 Освоение программы'!C19)</f>
        <v>?? з.е.</v>
      </c>
      <c r="Q33" s="172"/>
      <c r="R33" s="172"/>
      <c r="S33" s="114"/>
      <c r="T33" s="114"/>
      <c r="U33" s="172" t="str">
        <f>IF(LEN(TRIM('3 Освоение программы'!D19))=0," ",'3 Освоение программы'!D19)</f>
        <v>оценка</v>
      </c>
      <c r="V33" s="172"/>
      <c r="W33" s="172"/>
      <c r="X33" s="172"/>
      <c r="Y33" s="90"/>
      <c r="Z33" s="90"/>
      <c r="AA33" s="90"/>
      <c r="AB33" s="90"/>
      <c r="AC33" s="90"/>
      <c r="AD33" s="90"/>
      <c r="AE33" s="18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93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93"/>
      <c r="AW33" s="173" t="str">
        <f>IF(LEN(TRIM('3 Освоение программы'!D87))=0," ",'3 Освоение программы'!D87)</f>
        <v xml:space="preserve"> </v>
      </c>
      <c r="AX33" s="173"/>
      <c r="AY33" s="173"/>
      <c r="AZ33" s="173"/>
      <c r="BA33" s="173"/>
      <c r="BB33" s="90"/>
      <c r="BC33" s="104"/>
    </row>
    <row r="34" spans="1:55" ht="9.9499999999999993" customHeight="1" x14ac:dyDescent="0.25">
      <c r="A34" s="91"/>
      <c r="B34" s="90"/>
      <c r="C34" s="175" t="str">
        <f>IF(LEN(TRIM('3 Освоение программы'!B20))=0," ",'3 Освоение программы'!B20)</f>
        <v>Дисциплина 19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15"/>
      <c r="P34" s="172" t="str">
        <f>IF(LEN(TRIM('3 Освоение программы'!C20))=0," ",'3 Освоение программы'!C20)</f>
        <v>?? з.е.</v>
      </c>
      <c r="Q34" s="172"/>
      <c r="R34" s="172"/>
      <c r="S34" s="114"/>
      <c r="T34" s="114"/>
      <c r="U34" s="172" t="str">
        <f>IF(LEN(TRIM('3 Освоение программы'!D20))=0," ",'3 Освоение программы'!D20)</f>
        <v>оценка</v>
      </c>
      <c r="V34" s="172"/>
      <c r="W34" s="172"/>
      <c r="X34" s="172"/>
      <c r="Y34" s="90"/>
      <c r="Z34" s="90"/>
      <c r="AA34" s="90"/>
      <c r="AB34" s="90"/>
      <c r="AC34" s="90"/>
      <c r="AD34" s="90"/>
      <c r="AE34" s="184" t="str">
        <f>IF(LEN(TRIM('3 Освоение программы'!B88))=0," ",'3 Освоение программы'!B88)</f>
        <v>тема курсовой работы"</v>
      </c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93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93"/>
      <c r="AW34" s="173" t="str">
        <f>IF(LEN(TRIM('3 Освоение программы'!D88))=0," ",'3 Освоение программы'!D88)</f>
        <v>оценка</v>
      </c>
      <c r="AX34" s="173"/>
      <c r="AY34" s="173"/>
      <c r="AZ34" s="173"/>
      <c r="BA34" s="173"/>
      <c r="BB34" s="90"/>
      <c r="BC34" s="104"/>
    </row>
    <row r="35" spans="1:55" ht="9.9499999999999993" customHeight="1" x14ac:dyDescent="0.25">
      <c r="A35" s="91"/>
      <c r="B35" s="90"/>
      <c r="C35" s="175" t="str">
        <f>IF(LEN(TRIM('3 Освоение программы'!B21))=0," ",'3 Освоение программы'!B21)</f>
        <v>Дисциплина 20</v>
      </c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15"/>
      <c r="P35" s="172" t="str">
        <f>IF(LEN(TRIM('3 Освоение программы'!C21))=0," ",'3 Освоение программы'!C21)</f>
        <v>?? з.е.</v>
      </c>
      <c r="Q35" s="172"/>
      <c r="R35" s="172"/>
      <c r="S35" s="114"/>
      <c r="T35" s="114"/>
      <c r="U35" s="172" t="str">
        <f>IF(LEN(TRIM('3 Освоение программы'!D21))=0," ",'3 Освоение программы'!D21)</f>
        <v>оценка</v>
      </c>
      <c r="V35" s="172"/>
      <c r="W35" s="172"/>
      <c r="X35" s="172"/>
      <c r="Y35" s="90"/>
      <c r="Z35" s="90"/>
      <c r="AA35" s="90"/>
      <c r="AB35" s="90"/>
      <c r="AC35" s="90"/>
      <c r="AD35" s="90"/>
      <c r="AE35" s="18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93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93"/>
      <c r="AW35" s="173" t="str">
        <f>IF(LEN(TRIM('3 Освоение программы'!D89))=0," ",'3 Освоение программы'!D89)</f>
        <v xml:space="preserve"> </v>
      </c>
      <c r="AX35" s="173"/>
      <c r="AY35" s="173"/>
      <c r="AZ35" s="173"/>
      <c r="BA35" s="173"/>
      <c r="BB35" s="90"/>
      <c r="BC35" s="104"/>
    </row>
    <row r="36" spans="1:55" ht="9.9499999999999993" customHeight="1" x14ac:dyDescent="0.25">
      <c r="A36" s="91"/>
      <c r="B36" s="90"/>
      <c r="C36" s="175" t="str">
        <f>IF(LEN(TRIM('3 Освоение программы'!B22))=0," ",'3 Освоение программы'!B22)</f>
        <v>Дисциплина 21</v>
      </c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15"/>
      <c r="P36" s="172" t="str">
        <f>IF(LEN(TRIM('3 Освоение программы'!C22))=0," ",'3 Освоение программы'!C22)</f>
        <v>?? з.е.</v>
      </c>
      <c r="Q36" s="172"/>
      <c r="R36" s="172"/>
      <c r="S36" s="114"/>
      <c r="T36" s="114"/>
      <c r="U36" s="172" t="str">
        <f>IF(LEN(TRIM('3 Освоение программы'!D22))=0," ",'3 Освоение программы'!D22)</f>
        <v>оценка</v>
      </c>
      <c r="V36" s="172"/>
      <c r="W36" s="172"/>
      <c r="X36" s="172"/>
      <c r="Y36" s="90"/>
      <c r="Z36" s="90"/>
      <c r="AA36" s="90"/>
      <c r="AB36" s="90"/>
      <c r="AC36" s="90"/>
      <c r="AD36" s="90"/>
      <c r="AE36" s="184" t="str">
        <f>IF(LEN(TRIM('3 Освоение программы'!B90))=0," ",'3 Освоение программы'!B90)</f>
        <v>тема курсовой работы"</v>
      </c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93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93"/>
      <c r="AW36" s="173" t="str">
        <f>IF(LEN(TRIM('3 Освоение программы'!D90))=0," ",'3 Освоение программы'!D90)</f>
        <v>оценка</v>
      </c>
      <c r="AX36" s="173"/>
      <c r="AY36" s="173"/>
      <c r="AZ36" s="173"/>
      <c r="BA36" s="173"/>
      <c r="BB36" s="90"/>
      <c r="BC36" s="104"/>
    </row>
    <row r="37" spans="1:55" ht="9.9499999999999993" customHeight="1" x14ac:dyDescent="0.25">
      <c r="A37" s="91"/>
      <c r="B37" s="90"/>
      <c r="C37" s="175" t="str">
        <f>IF(LEN(TRIM('3 Освоение программы'!B23))=0," ",'3 Освоение программы'!B23)</f>
        <v>Дисциплина 22</v>
      </c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15"/>
      <c r="P37" s="172" t="str">
        <f>IF(LEN(TRIM('3 Освоение программы'!C23))=0," ",'3 Освоение программы'!C23)</f>
        <v>?? з.е.</v>
      </c>
      <c r="Q37" s="172"/>
      <c r="R37" s="172"/>
      <c r="S37" s="114"/>
      <c r="T37" s="114"/>
      <c r="U37" s="172" t="str">
        <f>IF(LEN(TRIM('3 Освоение программы'!D23))=0," ",'3 Освоение программы'!D23)</f>
        <v>оценка</v>
      </c>
      <c r="V37" s="172"/>
      <c r="W37" s="172"/>
      <c r="X37" s="172"/>
      <c r="Y37" s="90"/>
      <c r="Z37" s="90"/>
      <c r="AA37" s="90"/>
      <c r="AB37" s="90"/>
      <c r="AC37" s="90"/>
      <c r="AD37" s="90"/>
      <c r="AE37" s="184" t="str">
        <f>IF(LEN(TRIM('3 Освоение программы'!B91))=0," ",'3 Освоение программы'!B91)</f>
        <v>Факультативные дисциплины (модули)</v>
      </c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93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93"/>
      <c r="AW37" s="173" t="str">
        <f>IF(LEN(TRIM('3 Освоение программы'!D91))=0," ",'3 Освоение программы'!D91)</f>
        <v xml:space="preserve"> </v>
      </c>
      <c r="AX37" s="173"/>
      <c r="AY37" s="173"/>
      <c r="AZ37" s="173"/>
      <c r="BA37" s="173"/>
      <c r="BB37" s="90"/>
      <c r="BC37" s="104"/>
    </row>
    <row r="38" spans="1:55" ht="9.9499999999999993" customHeight="1" x14ac:dyDescent="0.25">
      <c r="A38" s="91"/>
      <c r="B38" s="90"/>
      <c r="C38" s="175" t="str">
        <f>IF(LEN(TRIM('3 Освоение программы'!B24))=0," ",'3 Освоение программы'!B24)</f>
        <v>Дисциплина 23</v>
      </c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15"/>
      <c r="P38" s="172" t="str">
        <f>IF(LEN(TRIM('3 Освоение программы'!C24))=0," ",'3 Освоение программы'!C24)</f>
        <v>?? з.е.</v>
      </c>
      <c r="Q38" s="172"/>
      <c r="R38" s="172"/>
      <c r="S38" s="114"/>
      <c r="T38" s="114"/>
      <c r="U38" s="172" t="str">
        <f>IF(LEN(TRIM('3 Освоение программы'!D24))=0," ",'3 Освоение программы'!D24)</f>
        <v>оценка</v>
      </c>
      <c r="V38" s="172"/>
      <c r="W38" s="172"/>
      <c r="X38" s="172"/>
      <c r="Y38" s="90"/>
      <c r="Z38" s="90"/>
      <c r="AA38" s="90"/>
      <c r="AB38" s="90"/>
      <c r="AC38" s="90"/>
      <c r="AD38" s="90"/>
      <c r="AE38" s="184" t="str">
        <f>IF(LEN(TRIM('3 Освоение программы'!B92))=0," ",'3 Освоение программы'!B92)</f>
        <v>в том числе:</v>
      </c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93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93"/>
      <c r="AW38" s="173" t="str">
        <f>IF(LEN(TRIM('3 Освоение программы'!D92))=0," ",'3 Освоение программы'!D92)</f>
        <v xml:space="preserve"> </v>
      </c>
      <c r="AX38" s="173"/>
      <c r="AY38" s="173"/>
      <c r="AZ38" s="173"/>
      <c r="BA38" s="173"/>
      <c r="BB38" s="90"/>
      <c r="BC38" s="104"/>
    </row>
    <row r="39" spans="1:55" ht="9.9499999999999993" customHeight="1" x14ac:dyDescent="0.25">
      <c r="A39" s="91"/>
      <c r="B39" s="90"/>
      <c r="C39" s="175" t="str">
        <f>IF(LEN(TRIM('3 Освоение программы'!B25))=0," ",'3 Освоение программы'!B25)</f>
        <v>Дисциплина 24</v>
      </c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15"/>
      <c r="P39" s="172" t="str">
        <f>IF(LEN(TRIM('3 Освоение программы'!C25))=0," ",'3 Освоение программы'!C25)</f>
        <v>?? з.е.</v>
      </c>
      <c r="Q39" s="172"/>
      <c r="R39" s="172"/>
      <c r="S39" s="114"/>
      <c r="T39" s="114"/>
      <c r="U39" s="172" t="str">
        <f>IF(LEN(TRIM('3 Освоение программы'!D25))=0," ",'3 Освоение программы'!D25)</f>
        <v>оценка</v>
      </c>
      <c r="V39" s="172"/>
      <c r="W39" s="172"/>
      <c r="X39" s="172"/>
      <c r="Y39" s="90"/>
      <c r="Z39" s="90"/>
      <c r="AA39" s="90"/>
      <c r="AB39" s="90"/>
      <c r="AC39" s="90"/>
      <c r="AD39" s="90"/>
      <c r="AE39" s="184" t="str">
        <f>IF(LEN(TRIM('3 Освоение программы'!B93))=0," ",'3 Освоение программы'!B93)</f>
        <v>Повышение спортивного мастерства</v>
      </c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93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93"/>
      <c r="AW39" s="173" t="str">
        <f>IF(LEN(TRIM('3 Освоение программы'!D93))=0," ",'3 Освоение программы'!D93)</f>
        <v>зачтено</v>
      </c>
      <c r="AX39" s="173"/>
      <c r="AY39" s="173"/>
      <c r="AZ39" s="173"/>
      <c r="BA39" s="173"/>
      <c r="BB39" s="90"/>
      <c r="BC39" s="104"/>
    </row>
    <row r="40" spans="1:55" ht="9.9499999999999993" customHeight="1" x14ac:dyDescent="0.25">
      <c r="A40" s="91"/>
      <c r="B40" s="90"/>
      <c r="C40" s="175" t="str">
        <f>IF(LEN(TRIM('3 Освоение программы'!B26))=0," ",'3 Освоение программы'!B26)</f>
        <v>Дисциплина 25</v>
      </c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15"/>
      <c r="P40" s="172" t="str">
        <f>IF(LEN(TRIM('3 Освоение программы'!C26))=0," ",'3 Освоение программы'!C26)</f>
        <v>?? з.е.</v>
      </c>
      <c r="Q40" s="172"/>
      <c r="R40" s="172"/>
      <c r="S40" s="114"/>
      <c r="T40" s="114"/>
      <c r="U40" s="172" t="str">
        <f>IF(LEN(TRIM('3 Освоение программы'!D26))=0," ",'3 Освоение программы'!D26)</f>
        <v>оценка</v>
      </c>
      <c r="V40" s="172"/>
      <c r="W40" s="172"/>
      <c r="X40" s="172"/>
      <c r="Y40" s="90"/>
      <c r="Z40" s="90"/>
      <c r="AA40" s="90"/>
      <c r="AB40" s="90"/>
      <c r="AC40" s="90"/>
      <c r="AD40" s="90"/>
      <c r="AE40" s="184" t="str">
        <f>IF(LEN(TRIM('3 Освоение программы'!B94))=0," ",'3 Освоение программы'!B94)</f>
        <v xml:space="preserve"> </v>
      </c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93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93"/>
      <c r="AW40" s="173" t="str">
        <f>IF(LEN(TRIM('3 Освоение программы'!D94))=0," ",'3 Освоение программы'!D94)</f>
        <v xml:space="preserve"> </v>
      </c>
      <c r="AX40" s="173"/>
      <c r="AY40" s="173"/>
      <c r="AZ40" s="173"/>
      <c r="BA40" s="173"/>
      <c r="BB40" s="90"/>
      <c r="BC40" s="104"/>
    </row>
    <row r="41" spans="1:55" ht="9.9499999999999993" customHeight="1" x14ac:dyDescent="0.25">
      <c r="A41" s="91"/>
      <c r="B41" s="90"/>
      <c r="C41" s="175" t="str">
        <f>IF(LEN(TRIM('3 Освоение программы'!B27))=0," ",'3 Освоение программы'!B27)</f>
        <v>Дисциплина 26</v>
      </c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15"/>
      <c r="P41" s="172" t="str">
        <f>IF(LEN(TRIM('3 Освоение программы'!C27))=0," ",'3 Освоение программы'!C27)</f>
        <v>?? з.е.</v>
      </c>
      <c r="Q41" s="172"/>
      <c r="R41" s="172"/>
      <c r="S41" s="114"/>
      <c r="T41" s="114"/>
      <c r="U41" s="172" t="str">
        <f>IF(LEN(TRIM('3 Освоение программы'!D27))=0," ",'3 Освоение программы'!D27)</f>
        <v>оценка</v>
      </c>
      <c r="V41" s="172"/>
      <c r="W41" s="172"/>
      <c r="X41" s="172"/>
      <c r="Y41" s="90"/>
      <c r="Z41" s="90"/>
      <c r="AA41" s="90"/>
      <c r="AB41" s="90"/>
      <c r="AC41" s="90"/>
      <c r="AD41" s="90"/>
      <c r="AE41" s="184" t="str">
        <f>IF(LEN(TRIM('3 Освоение программы'!B95))=0," ",'3 Освоение программы'!B95)</f>
        <v xml:space="preserve"> </v>
      </c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93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93"/>
      <c r="AW41" s="173" t="str">
        <f>IF(LEN(TRIM('3 Освоение программы'!D95))=0," ",'3 Освоение программы'!D95)</f>
        <v xml:space="preserve"> </v>
      </c>
      <c r="AX41" s="173"/>
      <c r="AY41" s="173"/>
      <c r="AZ41" s="173"/>
      <c r="BA41" s="173"/>
      <c r="BB41" s="90"/>
      <c r="BC41" s="104"/>
    </row>
    <row r="42" spans="1:55" ht="9.9499999999999993" customHeight="1" x14ac:dyDescent="0.25">
      <c r="A42" s="91"/>
      <c r="B42" s="90"/>
      <c r="C42" s="175" t="str">
        <f>IF(LEN(TRIM('3 Освоение программы'!B28))=0," ",'3 Освоение программы'!B28)</f>
        <v>Дисциплина 27</v>
      </c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15"/>
      <c r="P42" s="172" t="str">
        <f>IF(LEN(TRIM('3 Освоение программы'!C28))=0," ",'3 Освоение программы'!C28)</f>
        <v>?? з.е.</v>
      </c>
      <c r="Q42" s="172"/>
      <c r="R42" s="172"/>
      <c r="S42" s="114"/>
      <c r="T42" s="114"/>
      <c r="U42" s="172" t="str">
        <f>IF(LEN(TRIM('3 Освоение программы'!D28))=0," ",'3 Освоение программы'!D28)</f>
        <v>оценка</v>
      </c>
      <c r="V42" s="172"/>
      <c r="W42" s="172"/>
      <c r="X42" s="172"/>
      <c r="Y42" s="90"/>
      <c r="Z42" s="90"/>
      <c r="AA42" s="90"/>
      <c r="AB42" s="90"/>
      <c r="AC42" s="90"/>
      <c r="AD42" s="90"/>
      <c r="AE42" s="184" t="str">
        <f>IF(LEN(TRIM('3 Освоение программы'!B96))=0," ",'3 Освоение программы'!B96)</f>
        <v xml:space="preserve"> </v>
      </c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93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93"/>
      <c r="AW42" s="173" t="str">
        <f>IF(LEN(TRIM('3 Освоение программы'!D96))=0," ",'3 Освоение программы'!D96)</f>
        <v xml:space="preserve"> </v>
      </c>
      <c r="AX42" s="173"/>
      <c r="AY42" s="173"/>
      <c r="AZ42" s="173"/>
      <c r="BA42" s="173"/>
      <c r="BB42" s="90"/>
      <c r="BC42" s="104"/>
    </row>
    <row r="43" spans="1:55" ht="9.9499999999999993" customHeight="1" x14ac:dyDescent="0.25">
      <c r="A43" s="91"/>
      <c r="B43" s="90"/>
      <c r="C43" s="175" t="str">
        <f>IF(LEN(TRIM('3 Освоение программы'!B29))=0," ",'3 Освоение программы'!B29)</f>
        <v>Дисциплина 28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15"/>
      <c r="P43" s="172" t="str">
        <f>IF(LEN(TRIM('3 Освоение программы'!C29))=0," ",'3 Освоение программы'!C29)</f>
        <v>?? з.е.</v>
      </c>
      <c r="Q43" s="172"/>
      <c r="R43" s="172"/>
      <c r="S43" s="114"/>
      <c r="T43" s="114"/>
      <c r="U43" s="172" t="str">
        <f>IF(LEN(TRIM('3 Освоение программы'!D29))=0," ",'3 Освоение программы'!D29)</f>
        <v>оценка</v>
      </c>
      <c r="V43" s="172"/>
      <c r="W43" s="172"/>
      <c r="X43" s="172"/>
      <c r="Y43" s="90"/>
      <c r="Z43" s="90"/>
      <c r="AA43" s="90"/>
      <c r="AB43" s="90"/>
      <c r="AC43" s="90"/>
      <c r="AD43" s="90"/>
      <c r="AE43" s="184" t="str">
        <f>IF(LEN(TRIM('3 Освоение программы'!B97))=0," ",'3 Освоение программы'!B97)</f>
        <v xml:space="preserve"> </v>
      </c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93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93"/>
      <c r="AW43" s="173" t="str">
        <f>IF(LEN(TRIM('3 Освоение программы'!D97))=0," ",'3 Освоение программы'!D97)</f>
        <v xml:space="preserve"> </v>
      </c>
      <c r="AX43" s="173"/>
      <c r="AY43" s="173"/>
      <c r="AZ43" s="173"/>
      <c r="BA43" s="173"/>
      <c r="BB43" s="90"/>
      <c r="BC43" s="104"/>
    </row>
    <row r="44" spans="1:55" ht="9.9499999999999993" customHeight="1" x14ac:dyDescent="0.25">
      <c r="A44" s="91"/>
      <c r="B44" s="90"/>
      <c r="C44" s="175" t="str">
        <f>IF(LEN(TRIM('3 Освоение программы'!B30))=0," ",'3 Освоение программы'!B30)</f>
        <v>Дисциплина 29</v>
      </c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15"/>
      <c r="P44" s="172" t="str">
        <f>IF(LEN(TRIM('3 Освоение программы'!C30))=0," ",'3 Освоение программы'!C30)</f>
        <v>?? з.е.</v>
      </c>
      <c r="Q44" s="172"/>
      <c r="R44" s="172"/>
      <c r="S44" s="114"/>
      <c r="T44" s="114"/>
      <c r="U44" s="172" t="str">
        <f>IF(LEN(TRIM('3 Освоение программы'!D30))=0," ",'3 Освоение программы'!D30)</f>
        <v>оценка</v>
      </c>
      <c r="V44" s="172"/>
      <c r="W44" s="172"/>
      <c r="X44" s="172"/>
      <c r="Y44" s="90"/>
      <c r="Z44" s="90"/>
      <c r="AA44" s="90"/>
      <c r="AB44" s="90"/>
      <c r="AC44" s="90"/>
      <c r="AD44" s="90"/>
      <c r="AE44" s="184" t="str">
        <f>IF(LEN(TRIM('3 Освоение программы'!B98))=0," ",'3 Освоение программы'!B98)</f>
        <v xml:space="preserve"> </v>
      </c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93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93"/>
      <c r="AW44" s="173" t="str">
        <f>IF(LEN(TRIM('3 Освоение программы'!D98))=0," ",'3 Освоение программы'!D98)</f>
        <v xml:space="preserve"> </v>
      </c>
      <c r="AX44" s="173"/>
      <c r="AY44" s="173"/>
      <c r="AZ44" s="173"/>
      <c r="BA44" s="173"/>
      <c r="BB44" s="90"/>
      <c r="BC44" s="104"/>
    </row>
    <row r="45" spans="1:55" ht="9.9499999999999993" customHeight="1" x14ac:dyDescent="0.25">
      <c r="A45" s="91"/>
      <c r="B45" s="90"/>
      <c r="C45" s="175" t="str">
        <f>IF(LEN(TRIM('3 Освоение программы'!B31))=0," ",'3 Освоение программы'!B31)</f>
        <v>Дисциплина 30</v>
      </c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15"/>
      <c r="P45" s="172" t="str">
        <f>IF(LEN(TRIM('3 Освоение программы'!C31))=0," ",'3 Освоение программы'!C31)</f>
        <v>?? з.е.</v>
      </c>
      <c r="Q45" s="172"/>
      <c r="R45" s="172"/>
      <c r="S45" s="114"/>
      <c r="T45" s="114"/>
      <c r="U45" s="172" t="str">
        <f>IF(LEN(TRIM('3 Освоение программы'!D31))=0," ",'3 Освоение программы'!D31)</f>
        <v>оценка</v>
      </c>
      <c r="V45" s="172"/>
      <c r="W45" s="172"/>
      <c r="X45" s="172"/>
      <c r="Y45" s="90"/>
      <c r="Z45" s="90"/>
      <c r="AA45" s="90"/>
      <c r="AB45" s="90"/>
      <c r="AC45" s="90"/>
      <c r="AD45" s="90"/>
      <c r="AE45" s="184" t="str">
        <f>IF(LEN(TRIM('3 Освоение программы'!B99))=0," ",'3 Освоение программы'!B99)</f>
        <v xml:space="preserve"> </v>
      </c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93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93"/>
      <c r="AW45" s="173" t="str">
        <f>IF(LEN(TRIM('3 Освоение программы'!D99))=0," ",'3 Освоение программы'!D99)</f>
        <v xml:space="preserve"> </v>
      </c>
      <c r="AX45" s="173"/>
      <c r="AY45" s="173"/>
      <c r="AZ45" s="173"/>
      <c r="BA45" s="173"/>
      <c r="BB45" s="90"/>
      <c r="BC45" s="104"/>
    </row>
    <row r="46" spans="1:55" ht="9.9499999999999993" customHeight="1" x14ac:dyDescent="0.25">
      <c r="A46" s="91"/>
      <c r="B46" s="90"/>
      <c r="C46" s="175" t="str">
        <f>IF(LEN(TRIM('3 Освоение программы'!B32))=0," ",'3 Освоение программы'!B32)</f>
        <v>Дисциплина 31</v>
      </c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15"/>
      <c r="P46" s="172" t="str">
        <f>IF(LEN(TRIM('3 Освоение программы'!C32))=0," ",'3 Освоение программы'!C32)</f>
        <v>?? з.е.</v>
      </c>
      <c r="Q46" s="172"/>
      <c r="R46" s="172"/>
      <c r="S46" s="114"/>
      <c r="T46" s="114"/>
      <c r="U46" s="172" t="str">
        <f>IF(LEN(TRIM('3 Освоение программы'!D32))=0," ",'3 Освоение программы'!D32)</f>
        <v>оценка</v>
      </c>
      <c r="V46" s="172"/>
      <c r="W46" s="172"/>
      <c r="X46" s="172"/>
      <c r="Y46" s="90"/>
      <c r="Z46" s="90"/>
      <c r="AA46" s="90"/>
      <c r="AB46" s="90"/>
      <c r="AC46" s="90"/>
      <c r="AD46" s="90"/>
      <c r="AE46" s="184" t="str">
        <f>IF(LEN(TRIM('3 Освоение программы'!B100))=0," ",'3 Освоение программы'!B100)</f>
        <v xml:space="preserve"> </v>
      </c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93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93"/>
      <c r="AW46" s="173" t="str">
        <f>IF(LEN(TRIM('3 Освоение программы'!D100))=0," ",'3 Освоение программы'!D100)</f>
        <v xml:space="preserve"> </v>
      </c>
      <c r="AX46" s="173"/>
      <c r="AY46" s="173"/>
      <c r="AZ46" s="173"/>
      <c r="BA46" s="173"/>
      <c r="BB46" s="90"/>
      <c r="BC46" s="104"/>
    </row>
    <row r="47" spans="1:55" ht="9.9499999999999993" customHeight="1" x14ac:dyDescent="0.25">
      <c r="A47" s="91"/>
      <c r="B47" s="90"/>
      <c r="C47" s="175" t="str">
        <f>IF(LEN(TRIM('3 Освоение программы'!B33))=0," ",'3 Освоение программы'!B33)</f>
        <v>Дисциплина 32</v>
      </c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15"/>
      <c r="P47" s="172" t="str">
        <f>IF(LEN(TRIM('3 Освоение программы'!C33))=0," ",'3 Освоение программы'!C33)</f>
        <v>?? з.е.</v>
      </c>
      <c r="Q47" s="172"/>
      <c r="R47" s="172"/>
      <c r="S47" s="114"/>
      <c r="T47" s="114"/>
      <c r="U47" s="172" t="str">
        <f>IF(LEN(TRIM('3 Освоение программы'!D33))=0," ",'3 Освоение программы'!D33)</f>
        <v>оценка</v>
      </c>
      <c r="V47" s="172"/>
      <c r="W47" s="172"/>
      <c r="X47" s="172"/>
      <c r="Y47" s="90"/>
      <c r="Z47" s="90"/>
      <c r="AA47" s="90"/>
      <c r="AB47" s="90"/>
      <c r="AC47" s="90"/>
      <c r="AD47" s="90"/>
      <c r="AE47" s="184" t="str">
        <f>IF(LEN(TRIM('3 Освоение программы'!B101))=0," ",'3 Освоение программы'!B101)</f>
        <v xml:space="preserve"> </v>
      </c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93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93"/>
      <c r="AW47" s="173" t="str">
        <f>IF(LEN(TRIM('3 Освоение программы'!D101))=0," ",'3 Освоение программы'!D101)</f>
        <v xml:space="preserve"> </v>
      </c>
      <c r="AX47" s="173"/>
      <c r="AY47" s="173"/>
      <c r="AZ47" s="173"/>
      <c r="BA47" s="173"/>
      <c r="BB47" s="90"/>
      <c r="BC47" s="104"/>
    </row>
    <row r="48" spans="1:55" ht="9.9499999999999993" customHeight="1" x14ac:dyDescent="0.25">
      <c r="A48" s="91"/>
      <c r="B48" s="90"/>
      <c r="C48" s="175" t="str">
        <f>IF(LEN(TRIM('3 Освоение программы'!B34))=0," ",'3 Освоение программы'!B34)</f>
        <v>Дисциплина 33</v>
      </c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15"/>
      <c r="P48" s="172" t="str">
        <f>IF(LEN(TRIM('3 Освоение программы'!C34))=0," ",'3 Освоение программы'!C34)</f>
        <v>?? з.е.</v>
      </c>
      <c r="Q48" s="172"/>
      <c r="R48" s="172"/>
      <c r="S48" s="114"/>
      <c r="T48" s="114"/>
      <c r="U48" s="172" t="str">
        <f>IF(LEN(TRIM('3 Освоение программы'!D34))=0," ",'3 Освоение программы'!D34)</f>
        <v>оценка</v>
      </c>
      <c r="V48" s="172"/>
      <c r="W48" s="172"/>
      <c r="X48" s="172"/>
      <c r="Y48" s="90"/>
      <c r="Z48" s="90"/>
      <c r="AA48" s="90"/>
      <c r="AB48" s="90"/>
      <c r="AC48" s="90"/>
      <c r="AD48" s="90"/>
      <c r="AE48" s="184" t="str">
        <f>IF(LEN(TRIM('3 Освоение программы'!B102))=0," ",'3 Освоение программы'!B102)</f>
        <v xml:space="preserve"> </v>
      </c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93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93"/>
      <c r="AW48" s="173" t="str">
        <f>IF(LEN(TRIM('3 Освоение программы'!D102))=0," ",'3 Освоение программы'!D102)</f>
        <v xml:space="preserve"> </v>
      </c>
      <c r="AX48" s="173"/>
      <c r="AY48" s="173"/>
      <c r="AZ48" s="173"/>
      <c r="BA48" s="173"/>
      <c r="BB48" s="90"/>
      <c r="BC48" s="104"/>
    </row>
    <row r="49" spans="1:55" ht="9.9499999999999993" customHeight="1" x14ac:dyDescent="0.25">
      <c r="A49" s="91"/>
      <c r="B49" s="90"/>
      <c r="C49" s="175" t="str">
        <f>IF(LEN(TRIM('3 Освоение программы'!B35))=0," ",'3 Освоение программы'!B35)</f>
        <v>Дисциплина 34</v>
      </c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15"/>
      <c r="P49" s="172" t="str">
        <f>IF(LEN(TRIM('3 Освоение программы'!C35))=0," ",'3 Освоение программы'!C35)</f>
        <v>?? з.е.</v>
      </c>
      <c r="Q49" s="172"/>
      <c r="R49" s="172"/>
      <c r="S49" s="114"/>
      <c r="T49" s="114"/>
      <c r="U49" s="172" t="str">
        <f>IF(LEN(TRIM('3 Освоение программы'!D35))=0," ",'3 Освоение программы'!D35)</f>
        <v>оценка</v>
      </c>
      <c r="V49" s="172"/>
      <c r="W49" s="172"/>
      <c r="X49" s="172"/>
      <c r="Y49" s="90"/>
      <c r="Z49" s="90"/>
      <c r="AA49" s="90"/>
      <c r="AB49" s="90"/>
      <c r="AC49" s="90"/>
      <c r="AD49" s="90"/>
      <c r="AE49" s="184" t="str">
        <f>IF(LEN(TRIM('3 Освоение программы'!B103))=0," ",'3 Освоение программы'!B103)</f>
        <v xml:space="preserve"> </v>
      </c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93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93"/>
      <c r="AW49" s="173" t="str">
        <f>IF(LEN(TRIM('3 Освоение программы'!D103))=0," ",'3 Освоение программы'!D103)</f>
        <v xml:space="preserve"> </v>
      </c>
      <c r="AX49" s="173"/>
      <c r="AY49" s="173"/>
      <c r="AZ49" s="173"/>
      <c r="BA49" s="173"/>
      <c r="BB49" s="90"/>
      <c r="BC49" s="104"/>
    </row>
    <row r="50" spans="1:55" ht="9.9499999999999993" customHeight="1" x14ac:dyDescent="0.25">
      <c r="A50" s="91"/>
      <c r="B50" s="90"/>
      <c r="C50" s="175" t="str">
        <f>IF(LEN(TRIM('3 Освоение программы'!B36))=0," ",'3 Освоение программы'!B36)</f>
        <v>Дисциплина 35</v>
      </c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15"/>
      <c r="P50" s="172" t="str">
        <f>IF(LEN(TRIM('3 Освоение программы'!C36))=0," ",'3 Освоение программы'!C36)</f>
        <v>?? з.е.</v>
      </c>
      <c r="Q50" s="172"/>
      <c r="R50" s="172"/>
      <c r="S50" s="114"/>
      <c r="T50" s="114"/>
      <c r="U50" s="172" t="str">
        <f>IF(LEN(TRIM('3 Освоение программы'!D36))=0," ",'3 Освоение программы'!D36)</f>
        <v>оценка</v>
      </c>
      <c r="V50" s="172"/>
      <c r="W50" s="172"/>
      <c r="X50" s="172"/>
      <c r="Y50" s="90"/>
      <c r="Z50" s="90"/>
      <c r="AA50" s="90"/>
      <c r="AB50" s="90"/>
      <c r="AC50" s="90"/>
      <c r="AD50" s="90"/>
      <c r="AE50" s="184" t="str">
        <f>IF(LEN(TRIM('3 Освоение программы'!B104))=0," ",'3 Освоение программы'!B104)</f>
        <v xml:space="preserve"> </v>
      </c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93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93"/>
      <c r="AW50" s="173" t="str">
        <f>IF(LEN(TRIM('3 Освоение программы'!D104))=0," ",'3 Освоение программы'!D104)</f>
        <v xml:space="preserve"> </v>
      </c>
      <c r="AX50" s="173"/>
      <c r="AY50" s="173"/>
      <c r="AZ50" s="173"/>
      <c r="BA50" s="173"/>
      <c r="BB50" s="90"/>
      <c r="BC50" s="104"/>
    </row>
    <row r="51" spans="1:55" ht="9.9499999999999993" customHeight="1" x14ac:dyDescent="0.25">
      <c r="A51" s="91"/>
      <c r="B51" s="90"/>
      <c r="C51" s="175" t="str">
        <f>IF(LEN(TRIM('3 Освоение программы'!B37))=0," ",'3 Освоение программы'!B37)</f>
        <v>Дисциплина 36</v>
      </c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15"/>
      <c r="P51" s="172" t="str">
        <f>IF(LEN(TRIM('3 Освоение программы'!C37))=0," ",'3 Освоение программы'!C37)</f>
        <v>?? з.е.</v>
      </c>
      <c r="Q51" s="172"/>
      <c r="R51" s="172"/>
      <c r="S51" s="114"/>
      <c r="T51" s="114"/>
      <c r="U51" s="172" t="str">
        <f>IF(LEN(TRIM('3 Освоение программы'!D37))=0," ",'3 Освоение программы'!D37)</f>
        <v>оценка</v>
      </c>
      <c r="V51" s="172"/>
      <c r="W51" s="172"/>
      <c r="X51" s="172"/>
      <c r="Y51" s="90"/>
      <c r="Z51" s="90"/>
      <c r="AA51" s="90"/>
      <c r="AB51" s="90"/>
      <c r="AC51" s="90"/>
      <c r="AD51" s="90"/>
      <c r="AE51" s="184" t="str">
        <f>IF(LEN(TRIM('3 Освоение программы'!B105))=0," ",'3 Освоение программы'!B105)</f>
        <v xml:space="preserve"> </v>
      </c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93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93"/>
      <c r="AW51" s="173" t="str">
        <f>IF(LEN(TRIM('3 Освоение программы'!D105))=0," ",'3 Освоение программы'!D105)</f>
        <v xml:space="preserve"> </v>
      </c>
      <c r="AX51" s="173"/>
      <c r="AY51" s="173"/>
      <c r="AZ51" s="173"/>
      <c r="BA51" s="173"/>
      <c r="BB51" s="90"/>
      <c r="BC51" s="104"/>
    </row>
    <row r="52" spans="1:55" ht="9.9499999999999993" customHeight="1" x14ac:dyDescent="0.25">
      <c r="A52" s="91"/>
      <c r="B52" s="90"/>
      <c r="C52" s="175" t="str">
        <f>IF(LEN(TRIM('3 Освоение программы'!B38))=0," ",'3 Освоение программы'!B38)</f>
        <v>Дисциплина 37</v>
      </c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15"/>
      <c r="P52" s="172" t="str">
        <f>IF(LEN(TRIM('3 Освоение программы'!C38))=0," ",'3 Освоение программы'!C38)</f>
        <v>?? з.е.</v>
      </c>
      <c r="Q52" s="172"/>
      <c r="R52" s="172"/>
      <c r="S52" s="114"/>
      <c r="T52" s="114"/>
      <c r="U52" s="172" t="str">
        <f>IF(LEN(TRIM('3 Освоение программы'!D38))=0," ",'3 Освоение программы'!D38)</f>
        <v>оценка</v>
      </c>
      <c r="V52" s="172"/>
      <c r="W52" s="172"/>
      <c r="X52" s="172"/>
      <c r="Y52" s="90"/>
      <c r="Z52" s="90"/>
      <c r="AA52" s="90"/>
      <c r="AB52" s="90"/>
      <c r="AC52" s="90"/>
      <c r="AD52" s="90"/>
      <c r="AE52" s="184" t="str">
        <f>IF(LEN(TRIM('3 Освоение программы'!B106))=0," ",'3 Освоение программы'!B106)</f>
        <v xml:space="preserve"> </v>
      </c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93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93"/>
      <c r="AW52" s="173" t="str">
        <f>IF(LEN(TRIM('3 Освоение программы'!D106))=0," ",'3 Освоение программы'!D106)</f>
        <v xml:space="preserve"> </v>
      </c>
      <c r="AX52" s="173"/>
      <c r="AY52" s="173"/>
      <c r="AZ52" s="173"/>
      <c r="BA52" s="173"/>
      <c r="BB52" s="90"/>
      <c r="BC52" s="104"/>
    </row>
    <row r="53" spans="1:55" ht="9.9499999999999993" customHeight="1" x14ac:dyDescent="0.25">
      <c r="A53" s="91"/>
      <c r="B53" s="90"/>
      <c r="C53" s="175" t="str">
        <f>IF(LEN(TRIM('3 Освоение программы'!B39))=0," ",'3 Освоение программы'!B39)</f>
        <v>Дисциплина 38</v>
      </c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15"/>
      <c r="P53" s="172" t="str">
        <f>IF(LEN(TRIM('3 Освоение программы'!C39))=0," ",'3 Освоение программы'!C39)</f>
        <v>?? з.е.</v>
      </c>
      <c r="Q53" s="172"/>
      <c r="R53" s="172"/>
      <c r="S53" s="114"/>
      <c r="T53" s="114"/>
      <c r="U53" s="172" t="str">
        <f>IF(LEN(TRIM('3 Освоение программы'!D39))=0," ",'3 Освоение программы'!D39)</f>
        <v>оценка</v>
      </c>
      <c r="V53" s="172"/>
      <c r="W53" s="172"/>
      <c r="X53" s="172"/>
      <c r="Y53" s="90"/>
      <c r="Z53" s="90"/>
      <c r="AA53" s="90"/>
      <c r="AB53" s="90"/>
      <c r="AC53" s="90"/>
      <c r="AD53" s="90"/>
      <c r="AE53" s="184" t="str">
        <f>IF(LEN(TRIM('3 Освоение программы'!B107))=0," ",'3 Освоение программы'!B107)</f>
        <v xml:space="preserve"> </v>
      </c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93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93"/>
      <c r="AW53" s="173" t="str">
        <f>IF(LEN(TRIM('3 Освоение программы'!D107))=0," ",'3 Освоение программы'!D107)</f>
        <v xml:space="preserve"> </v>
      </c>
      <c r="AX53" s="173"/>
      <c r="AY53" s="173"/>
      <c r="AZ53" s="173"/>
      <c r="BA53" s="173"/>
      <c r="BB53" s="90"/>
      <c r="BC53" s="104"/>
    </row>
    <row r="54" spans="1:55" ht="9.9499999999999993" customHeight="1" x14ac:dyDescent="0.25">
      <c r="A54" s="91"/>
      <c r="B54" s="90"/>
      <c r="C54" s="175" t="str">
        <f>IF(LEN(TRIM('3 Освоение программы'!B40))=0," ",'3 Освоение программы'!B40)</f>
        <v>Дисциплина 39</v>
      </c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15"/>
      <c r="P54" s="172" t="str">
        <f>IF(LEN(TRIM('3 Освоение программы'!C40))=0," ",'3 Освоение программы'!C40)</f>
        <v>?? з.е.</v>
      </c>
      <c r="Q54" s="172"/>
      <c r="R54" s="172"/>
      <c r="S54" s="114"/>
      <c r="T54" s="114"/>
      <c r="U54" s="172" t="str">
        <f>IF(LEN(TRIM('3 Освоение программы'!D40))=0," ",'3 Освоение программы'!D40)</f>
        <v>оценка</v>
      </c>
      <c r="V54" s="172"/>
      <c r="W54" s="172"/>
      <c r="X54" s="172"/>
      <c r="Y54" s="90"/>
      <c r="Z54" s="90"/>
      <c r="AA54" s="90"/>
      <c r="AB54" s="90"/>
      <c r="AC54" s="90"/>
      <c r="AD54" s="90"/>
      <c r="AE54" s="184" t="str">
        <f>IF(LEN(TRIM('3 Освоение программы'!B108))=0," ",'3 Освоение программы'!B108)</f>
        <v xml:space="preserve"> </v>
      </c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93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93"/>
      <c r="AW54" s="173" t="str">
        <f>IF(LEN(TRIM('3 Освоение программы'!D108))=0," ",'3 Освоение программы'!D108)</f>
        <v xml:space="preserve"> </v>
      </c>
      <c r="AX54" s="173"/>
      <c r="AY54" s="173"/>
      <c r="AZ54" s="173"/>
      <c r="BA54" s="173"/>
      <c r="BB54" s="90"/>
      <c r="BC54" s="104"/>
    </row>
    <row r="55" spans="1:55" ht="9.9499999999999993" customHeight="1" x14ac:dyDescent="0.25">
      <c r="A55" s="91"/>
      <c r="B55" s="90"/>
      <c r="C55" s="175" t="str">
        <f>IF(LEN(TRIM('3 Освоение программы'!B41))=0," ",'3 Освоение программы'!B41)</f>
        <v>Дисциплина 40</v>
      </c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15"/>
      <c r="P55" s="172" t="str">
        <f>IF(LEN(TRIM('3 Освоение программы'!C41))=0," ",'3 Освоение программы'!C41)</f>
        <v>?? з.е.</v>
      </c>
      <c r="Q55" s="172"/>
      <c r="R55" s="172"/>
      <c r="S55" s="114"/>
      <c r="T55" s="114"/>
      <c r="U55" s="172" t="str">
        <f>IF(LEN(TRIM('3 Освоение программы'!D41))=0," ",'3 Освоение программы'!D41)</f>
        <v>оценка</v>
      </c>
      <c r="V55" s="172"/>
      <c r="W55" s="172"/>
      <c r="X55" s="172"/>
      <c r="Y55" s="90"/>
      <c r="Z55" s="90"/>
      <c r="AA55" s="90"/>
      <c r="AB55" s="90"/>
      <c r="AC55" s="90"/>
      <c r="AD55" s="90"/>
      <c r="AE55" s="184" t="str">
        <f>IF(LEN(TRIM('3 Освоение программы'!B109))=0," ",'3 Освоение программы'!B109)</f>
        <v xml:space="preserve"> </v>
      </c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93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93"/>
      <c r="AW55" s="173" t="str">
        <f>IF(LEN(TRIM('3 Освоение программы'!D109))=0," ",'3 Освоение программы'!D109)</f>
        <v xml:space="preserve"> </v>
      </c>
      <c r="AX55" s="173"/>
      <c r="AY55" s="173"/>
      <c r="AZ55" s="173"/>
      <c r="BA55" s="173"/>
      <c r="BB55" s="90"/>
      <c r="BC55" s="104"/>
    </row>
    <row r="56" spans="1:55" ht="9.9499999999999993" customHeight="1" x14ac:dyDescent="0.25">
      <c r="A56" s="91"/>
      <c r="B56" s="90"/>
      <c r="C56" s="175" t="str">
        <f>IF(LEN(TRIM('3 Освоение программы'!B42))=0," ",'3 Освоение программы'!B42)</f>
        <v>Дисциплина 41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15"/>
      <c r="P56" s="172" t="str">
        <f>IF(LEN(TRIM('3 Освоение программы'!C42))=0," ",'3 Освоение программы'!C42)</f>
        <v>?? з.е.</v>
      </c>
      <c r="Q56" s="172"/>
      <c r="R56" s="172"/>
      <c r="S56" s="114"/>
      <c r="T56" s="114"/>
      <c r="U56" s="172" t="str">
        <f>IF(LEN(TRIM('3 Освоение программы'!D42))=0," ",'3 Освоение программы'!D42)</f>
        <v>оценка</v>
      </c>
      <c r="V56" s="172"/>
      <c r="W56" s="172"/>
      <c r="X56" s="172"/>
      <c r="Y56" s="90"/>
      <c r="Z56" s="90"/>
      <c r="AA56" s="90"/>
      <c r="AB56" s="90"/>
      <c r="AC56" s="90"/>
      <c r="AD56" s="90"/>
      <c r="AE56" s="184" t="str">
        <f>IF(LEN(TRIM('3 Освоение программы'!B110))=0," ",'3 Освоение программы'!B110)</f>
        <v xml:space="preserve"> </v>
      </c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93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93"/>
      <c r="AW56" s="173" t="str">
        <f>IF(LEN(TRIM('3 Освоение программы'!D110))=0," ",'3 Освоение программы'!D110)</f>
        <v xml:space="preserve"> </v>
      </c>
      <c r="AX56" s="173"/>
      <c r="AY56" s="173"/>
      <c r="AZ56" s="173"/>
      <c r="BA56" s="173"/>
      <c r="BB56" s="90"/>
      <c r="BC56" s="104"/>
    </row>
    <row r="57" spans="1:55" ht="9.9499999999999993" customHeight="1" x14ac:dyDescent="0.25">
      <c r="A57" s="91"/>
      <c r="B57" s="90"/>
      <c r="C57" s="175" t="str">
        <f>IF(LEN(TRIM('3 Освоение программы'!B43))=0," ",'3 Освоение программы'!B43)</f>
        <v>Дисциплина 42</v>
      </c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15"/>
      <c r="P57" s="172" t="str">
        <f>IF(LEN(TRIM('3 Освоение программы'!C43))=0," ",'3 Освоение программы'!C43)</f>
        <v>?? з.е.</v>
      </c>
      <c r="Q57" s="172"/>
      <c r="R57" s="172"/>
      <c r="S57" s="114"/>
      <c r="T57" s="114"/>
      <c r="U57" s="172" t="str">
        <f>IF(LEN(TRIM('3 Освоение программы'!D43))=0," ",'3 Освоение программы'!D43)</f>
        <v>оценка</v>
      </c>
      <c r="V57" s="172"/>
      <c r="W57" s="172"/>
      <c r="X57" s="172"/>
      <c r="Y57" s="90"/>
      <c r="Z57" s="90"/>
      <c r="AA57" s="90"/>
      <c r="AB57" s="90"/>
      <c r="AC57" s="90"/>
      <c r="AD57" s="90"/>
      <c r="AE57" s="184" t="str">
        <f>IF(LEN(TRIM('3 Освоение программы'!B111))=0," ",'3 Освоение программы'!B111)</f>
        <v xml:space="preserve"> </v>
      </c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93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93"/>
      <c r="AW57" s="173" t="str">
        <f>IF(LEN(TRIM('3 Освоение программы'!D111))=0," ",'3 Освоение программы'!D111)</f>
        <v xml:space="preserve"> </v>
      </c>
      <c r="AX57" s="173"/>
      <c r="AY57" s="173"/>
      <c r="AZ57" s="173"/>
      <c r="BA57" s="173"/>
      <c r="BB57" s="90"/>
      <c r="BC57" s="104"/>
    </row>
    <row r="58" spans="1:55" ht="9.9499999999999993" customHeight="1" x14ac:dyDescent="0.25">
      <c r="A58" s="91"/>
      <c r="B58" s="90"/>
      <c r="C58" s="175" t="str">
        <f>IF(LEN(TRIM('3 Освоение программы'!B44))=0," ",'3 Освоение программы'!B44)</f>
        <v>Дисциплина 43</v>
      </c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15"/>
      <c r="P58" s="172" t="str">
        <f>IF(LEN(TRIM('3 Освоение программы'!C44))=0," ",'3 Освоение программы'!C44)</f>
        <v>?? з.е.</v>
      </c>
      <c r="Q58" s="172"/>
      <c r="R58" s="172"/>
      <c r="S58" s="114"/>
      <c r="T58" s="114"/>
      <c r="U58" s="172" t="str">
        <f>IF(LEN(TRIM('3 Освоение программы'!D44))=0," ",'3 Освоение программы'!D44)</f>
        <v>оценка</v>
      </c>
      <c r="V58" s="172"/>
      <c r="W58" s="172"/>
      <c r="X58" s="172"/>
      <c r="Y58" s="90"/>
      <c r="Z58" s="90"/>
      <c r="AA58" s="90"/>
      <c r="AB58" s="90"/>
      <c r="AC58" s="90"/>
      <c r="AD58" s="90"/>
      <c r="AE58" s="184" t="str">
        <f>IF(LEN(TRIM('3 Освоение программы'!B112))=0," ",'3 Освоение программы'!B112)</f>
        <v xml:space="preserve"> </v>
      </c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93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93"/>
      <c r="AW58" s="173" t="str">
        <f>IF(LEN(TRIM('3 Освоение программы'!D112))=0," ",'3 Освоение программы'!D112)</f>
        <v xml:space="preserve"> </v>
      </c>
      <c r="AX58" s="173"/>
      <c r="AY58" s="173"/>
      <c r="AZ58" s="173"/>
      <c r="BA58" s="173"/>
      <c r="BB58" s="90"/>
      <c r="BC58" s="104"/>
    </row>
    <row r="59" spans="1:55" ht="9.9499999999999993" customHeight="1" x14ac:dyDescent="0.25">
      <c r="A59" s="91"/>
      <c r="B59" s="90"/>
      <c r="C59" s="175" t="str">
        <f>IF(LEN(TRIM('3 Освоение программы'!B45))=0," ",'3 Освоение программы'!B45)</f>
        <v>Дисциплина 44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15"/>
      <c r="P59" s="172" t="str">
        <f>IF(LEN(TRIM('3 Освоение программы'!C45))=0," ",'3 Освоение программы'!C45)</f>
        <v>?? з.е.</v>
      </c>
      <c r="Q59" s="172"/>
      <c r="R59" s="172"/>
      <c r="S59" s="114"/>
      <c r="T59" s="114"/>
      <c r="U59" s="172" t="str">
        <f>IF(LEN(TRIM('3 Освоение программы'!D45))=0," ",'3 Освоение программы'!D45)</f>
        <v>оценка</v>
      </c>
      <c r="V59" s="172"/>
      <c r="W59" s="172"/>
      <c r="X59" s="172"/>
      <c r="Y59" s="90"/>
      <c r="Z59" s="90"/>
      <c r="AA59" s="90"/>
      <c r="AB59" s="90"/>
      <c r="AC59" s="90"/>
      <c r="AD59" s="90"/>
      <c r="AE59" s="184" t="str">
        <f>IF(LEN(TRIM('3 Освоение программы'!B113))=0," ",'3 Освоение программы'!B113)</f>
        <v xml:space="preserve"> </v>
      </c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93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93"/>
      <c r="AW59" s="173" t="str">
        <f>IF(LEN(TRIM('3 Освоение программы'!D113))=0," ",'3 Освоение программы'!D113)</f>
        <v xml:space="preserve"> </v>
      </c>
      <c r="AX59" s="173"/>
      <c r="AY59" s="173"/>
      <c r="AZ59" s="173"/>
      <c r="BA59" s="173"/>
      <c r="BB59" s="90"/>
      <c r="BC59" s="104"/>
    </row>
    <row r="60" spans="1:55" ht="9.9499999999999993" customHeight="1" x14ac:dyDescent="0.25">
      <c r="A60" s="91"/>
      <c r="B60" s="90"/>
      <c r="C60" s="175" t="str">
        <f>IF(LEN(TRIM('3 Освоение программы'!B46))=0," ",'3 Освоение программы'!B46)</f>
        <v>Дисциплина 45</v>
      </c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15"/>
      <c r="P60" s="172" t="str">
        <f>IF(LEN(TRIM('3 Освоение программы'!C46))=0," ",'3 Освоение программы'!C46)</f>
        <v>?? з.е.</v>
      </c>
      <c r="Q60" s="172"/>
      <c r="R60" s="172"/>
      <c r="S60" s="114"/>
      <c r="T60" s="114"/>
      <c r="U60" s="172" t="str">
        <f>IF(LEN(TRIM('3 Освоение программы'!D46))=0," ",'3 Освоение программы'!D46)</f>
        <v>оценка</v>
      </c>
      <c r="V60" s="172"/>
      <c r="W60" s="172"/>
      <c r="X60" s="172"/>
      <c r="Y60" s="90"/>
      <c r="Z60" s="90"/>
      <c r="AA60" s="90"/>
      <c r="AB60" s="90"/>
      <c r="AC60" s="90"/>
      <c r="AD60" s="90"/>
      <c r="AE60" s="184" t="str">
        <f>IF(LEN(TRIM('3 Освоение программы'!B114))=0," ",'3 Освоение программы'!B114)</f>
        <v xml:space="preserve"> </v>
      </c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93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93"/>
      <c r="AW60" s="173" t="str">
        <f>IF(LEN(TRIM('3 Освоение программы'!D114))=0," ",'3 Освоение программы'!D114)</f>
        <v xml:space="preserve"> </v>
      </c>
      <c r="AX60" s="173"/>
      <c r="AY60" s="173"/>
      <c r="AZ60" s="173"/>
      <c r="BA60" s="173"/>
      <c r="BB60" s="90"/>
      <c r="BC60" s="104"/>
    </row>
    <row r="61" spans="1:55" ht="9.9499999999999993" customHeight="1" x14ac:dyDescent="0.25">
      <c r="A61" s="91"/>
      <c r="B61" s="90"/>
      <c r="C61" s="175" t="str">
        <f>IF(LEN(TRIM('3 Освоение программы'!B47))=0," ",'3 Освоение программы'!B47)</f>
        <v>Дисциплина 46</v>
      </c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15"/>
      <c r="P61" s="172" t="str">
        <f>IF(LEN(TRIM('3 Освоение программы'!C47))=0," ",'3 Освоение программы'!C47)</f>
        <v>?? з.е.</v>
      </c>
      <c r="Q61" s="172"/>
      <c r="R61" s="172"/>
      <c r="S61" s="114"/>
      <c r="T61" s="114"/>
      <c r="U61" s="172" t="str">
        <f>IF(LEN(TRIM('3 Освоение программы'!D47))=0," ",'3 Освоение программы'!D47)</f>
        <v>оценка</v>
      </c>
      <c r="V61" s="172"/>
      <c r="W61" s="172"/>
      <c r="X61" s="172"/>
      <c r="Y61" s="90"/>
      <c r="Z61" s="90"/>
      <c r="AA61" s="90"/>
      <c r="AB61" s="90"/>
      <c r="AC61" s="90"/>
      <c r="AD61" s="90"/>
      <c r="AE61" s="184" t="str">
        <f>IF(LEN(TRIM('3 Освоение программы'!B115))=0," ",'3 Освоение программы'!B115)</f>
        <v xml:space="preserve"> </v>
      </c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93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93"/>
      <c r="AW61" s="173" t="str">
        <f>IF(LEN(TRIM('3 Освоение программы'!D115))=0," ",'3 Освоение программы'!D115)</f>
        <v xml:space="preserve"> </v>
      </c>
      <c r="AX61" s="173"/>
      <c r="AY61" s="173"/>
      <c r="AZ61" s="173"/>
      <c r="BA61" s="173"/>
      <c r="BB61" s="90"/>
      <c r="BC61" s="104"/>
    </row>
    <row r="62" spans="1:55" ht="9.9499999999999993" customHeight="1" x14ac:dyDescent="0.25">
      <c r="A62" s="91"/>
      <c r="B62" s="90"/>
      <c r="C62" s="175" t="str">
        <f>IF(LEN(TRIM('3 Освоение программы'!B48))=0," ",'3 Освоение программы'!B48)</f>
        <v>Дисциплина 47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15"/>
      <c r="P62" s="172" t="str">
        <f>IF(LEN(TRIM('3 Освоение программы'!C48))=0," ",'3 Освоение программы'!C48)</f>
        <v>?? з.е.</v>
      </c>
      <c r="Q62" s="172"/>
      <c r="R62" s="172"/>
      <c r="S62" s="114"/>
      <c r="T62" s="114"/>
      <c r="U62" s="172" t="str">
        <f>IF(LEN(TRIM('3 Освоение программы'!D48))=0," ",'3 Освоение программы'!D48)</f>
        <v>оценка</v>
      </c>
      <c r="V62" s="172"/>
      <c r="W62" s="172"/>
      <c r="X62" s="172"/>
      <c r="Y62" s="90"/>
      <c r="Z62" s="90"/>
      <c r="AA62" s="90"/>
      <c r="AB62" s="90"/>
      <c r="AC62" s="90"/>
      <c r="AD62" s="90"/>
      <c r="AE62" s="184" t="str">
        <f>IF(LEN(TRIM('3 Освоение программы'!B116))=0," ",'3 Освоение программы'!B116)</f>
        <v xml:space="preserve"> </v>
      </c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93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93"/>
      <c r="AW62" s="173" t="str">
        <f>IF(LEN(TRIM('3 Освоение программы'!D116))=0," ",'3 Освоение программы'!D116)</f>
        <v xml:space="preserve"> </v>
      </c>
      <c r="AX62" s="173"/>
      <c r="AY62" s="173"/>
      <c r="AZ62" s="173"/>
      <c r="BA62" s="173"/>
      <c r="BB62" s="90"/>
      <c r="BC62" s="104"/>
    </row>
    <row r="63" spans="1:55" ht="9.9499999999999993" customHeight="1" x14ac:dyDescent="0.25">
      <c r="A63" s="91"/>
      <c r="B63" s="90"/>
      <c r="C63" s="175" t="str">
        <f>IF(LEN(TRIM('3 Освоение программы'!B49))=0," ",'3 Освоение программы'!B49)</f>
        <v>Дисциплина 48</v>
      </c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15"/>
      <c r="P63" s="172" t="str">
        <f>IF(LEN(TRIM('3 Освоение программы'!C49))=0," ",'3 Освоение программы'!C49)</f>
        <v>?? з.е.</v>
      </c>
      <c r="Q63" s="172"/>
      <c r="R63" s="172"/>
      <c r="S63" s="114"/>
      <c r="T63" s="114"/>
      <c r="U63" s="172" t="str">
        <f>IF(LEN(TRIM('3 Освоение программы'!D49))=0," ",'3 Освоение программы'!D49)</f>
        <v>оценка</v>
      </c>
      <c r="V63" s="172"/>
      <c r="W63" s="172"/>
      <c r="X63" s="172"/>
      <c r="Y63" s="90"/>
      <c r="Z63" s="90"/>
      <c r="AA63" s="90"/>
      <c r="AB63" s="90"/>
      <c r="AC63" s="90"/>
      <c r="AD63" s="90"/>
      <c r="AE63" s="184" t="str">
        <f>IF(LEN(TRIM('3 Освоение программы'!B117))=0," ",'3 Освоение программы'!B117)</f>
        <v xml:space="preserve"> </v>
      </c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93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93"/>
      <c r="AW63" s="173" t="str">
        <f>IF(LEN(TRIM('3 Освоение программы'!D117))=0," ",'3 Освоение программы'!D117)</f>
        <v xml:space="preserve"> </v>
      </c>
      <c r="AX63" s="173"/>
      <c r="AY63" s="173"/>
      <c r="AZ63" s="173"/>
      <c r="BA63" s="173"/>
      <c r="BB63" s="90"/>
      <c r="BC63" s="104"/>
    </row>
    <row r="64" spans="1:55" ht="9.9499999999999993" customHeight="1" x14ac:dyDescent="0.25">
      <c r="A64" s="91"/>
      <c r="B64" s="90"/>
      <c r="C64" s="175" t="str">
        <f>IF(LEN(TRIM('3 Освоение программы'!B50))=0," ",'3 Освоение программы'!B50)</f>
        <v>Дисциплина 49</v>
      </c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15"/>
      <c r="P64" s="172" t="str">
        <f>IF(LEN(TRIM('3 Освоение программы'!C50))=0," ",'3 Освоение программы'!C50)</f>
        <v>?? з.е.</v>
      </c>
      <c r="Q64" s="172"/>
      <c r="R64" s="172"/>
      <c r="S64" s="114"/>
      <c r="T64" s="114"/>
      <c r="U64" s="172" t="str">
        <f>IF(LEN(TRIM('3 Освоение программы'!D50))=0," ",'3 Освоение программы'!D50)</f>
        <v>оценка</v>
      </c>
      <c r="V64" s="172"/>
      <c r="W64" s="172"/>
      <c r="X64" s="172"/>
      <c r="Y64" s="90"/>
      <c r="Z64" s="90"/>
      <c r="AA64" s="90"/>
      <c r="AB64" s="90"/>
      <c r="AC64" s="90"/>
      <c r="AD64" s="90"/>
      <c r="AE64" s="184" t="str">
        <f>IF(LEN(TRIM('3 Освоение программы'!B118))=0," ",'3 Освоение программы'!B118)</f>
        <v xml:space="preserve"> </v>
      </c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93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93"/>
      <c r="AW64" s="173" t="str">
        <f>IF(LEN(TRIM('3 Освоение программы'!D118))=0," ",'3 Освоение программы'!D118)</f>
        <v xml:space="preserve"> </v>
      </c>
      <c r="AX64" s="173"/>
      <c r="AY64" s="173"/>
      <c r="AZ64" s="173"/>
      <c r="BA64" s="173"/>
      <c r="BB64" s="90"/>
      <c r="BC64" s="104"/>
    </row>
    <row r="65" spans="1:55" ht="9.9499999999999993" customHeight="1" x14ac:dyDescent="0.25">
      <c r="A65" s="91"/>
      <c r="B65" s="90"/>
      <c r="C65" s="175" t="str">
        <f>IF(LEN(TRIM('3 Освоение программы'!B51))=0," ",'3 Освоение программы'!B51)</f>
        <v>Дисциплина 50</v>
      </c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15"/>
      <c r="P65" s="172" t="str">
        <f>IF(LEN(TRIM('3 Освоение программы'!C51))=0," ",'3 Освоение программы'!C51)</f>
        <v>?? з.е.</v>
      </c>
      <c r="Q65" s="172"/>
      <c r="R65" s="172"/>
      <c r="S65" s="114"/>
      <c r="T65" s="114"/>
      <c r="U65" s="172" t="str">
        <f>IF(LEN(TRIM('3 Освоение программы'!D51))=0," ",'3 Освоение программы'!D51)</f>
        <v>оценка</v>
      </c>
      <c r="V65" s="172"/>
      <c r="W65" s="172"/>
      <c r="X65" s="172"/>
      <c r="Y65" s="90"/>
      <c r="Z65" s="90"/>
      <c r="AA65" s="90"/>
      <c r="AB65" s="90"/>
      <c r="AC65" s="90"/>
      <c r="AD65" s="90"/>
      <c r="AE65" s="184" t="str">
        <f>IF(LEN(TRIM('3 Освоение программы'!B119))=0," ",'3 Освоение программы'!B119)</f>
        <v xml:space="preserve"> </v>
      </c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93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93"/>
      <c r="AW65" s="173" t="str">
        <f>IF(LEN(TRIM('3 Освоение программы'!D119))=0," ",'3 Освоение программы'!D119)</f>
        <v xml:space="preserve"> </v>
      </c>
      <c r="AX65" s="173"/>
      <c r="AY65" s="173"/>
      <c r="AZ65" s="173"/>
      <c r="BA65" s="173"/>
      <c r="BB65" s="90"/>
      <c r="BC65" s="104"/>
    </row>
    <row r="66" spans="1:55" ht="9.9499999999999993" customHeight="1" x14ac:dyDescent="0.25">
      <c r="A66" s="91"/>
      <c r="B66" s="90"/>
      <c r="C66" s="175" t="str">
        <f>IF(LEN(TRIM('3 Освоение программы'!B52))=0," ",'3 Освоение программы'!B52)</f>
        <v>Дисциплина 51</v>
      </c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15"/>
      <c r="P66" s="172" t="str">
        <f>IF(LEN(TRIM('3 Освоение программы'!C52))=0," ",'3 Освоение программы'!C52)</f>
        <v>?? з.е.</v>
      </c>
      <c r="Q66" s="172"/>
      <c r="R66" s="172"/>
      <c r="S66" s="114"/>
      <c r="T66" s="114"/>
      <c r="U66" s="172" t="str">
        <f>IF(LEN(TRIM('3 Освоение программы'!D52))=0," ",'3 Освоение программы'!D52)</f>
        <v>оценка</v>
      </c>
      <c r="V66" s="172"/>
      <c r="W66" s="172"/>
      <c r="X66" s="172"/>
      <c r="Y66" s="90"/>
      <c r="Z66" s="90"/>
      <c r="AA66" s="90"/>
      <c r="AB66" s="90"/>
      <c r="AC66" s="90"/>
      <c r="AD66" s="90"/>
      <c r="AE66" s="184" t="str">
        <f>IF(LEN(TRIM('3 Освоение программы'!B120))=0," ",'3 Освоение программы'!B120)</f>
        <v xml:space="preserve"> </v>
      </c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93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93"/>
      <c r="AW66" s="173" t="str">
        <f>IF(LEN(TRIM('3 Освоение программы'!D120))=0," ",'3 Освоение программы'!D120)</f>
        <v xml:space="preserve"> </v>
      </c>
      <c r="AX66" s="173"/>
      <c r="AY66" s="173"/>
      <c r="AZ66" s="173"/>
      <c r="BA66" s="173"/>
      <c r="BB66" s="90"/>
      <c r="BC66" s="104"/>
    </row>
    <row r="67" spans="1:55" ht="9.9499999999999993" customHeight="1" x14ac:dyDescent="0.25">
      <c r="A67" s="91"/>
      <c r="B67" s="90"/>
      <c r="C67" s="175" t="str">
        <f>IF(LEN(TRIM('3 Освоение программы'!B53))=0," ",'3 Освоение программы'!B53)</f>
        <v>Дисциплина 52</v>
      </c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15"/>
      <c r="P67" s="172" t="str">
        <f>IF(LEN(TRIM('3 Освоение программы'!C53))=0," ",'3 Освоение программы'!C53)</f>
        <v>?? з.е.</v>
      </c>
      <c r="Q67" s="172"/>
      <c r="R67" s="172"/>
      <c r="S67" s="114"/>
      <c r="T67" s="114"/>
      <c r="U67" s="172" t="str">
        <f>IF(LEN(TRIM('3 Освоение программы'!D53))=0," ",'3 Освоение программы'!D53)</f>
        <v>оценка</v>
      </c>
      <c r="V67" s="172"/>
      <c r="W67" s="172"/>
      <c r="X67" s="172"/>
      <c r="Y67" s="90"/>
      <c r="Z67" s="90"/>
      <c r="AA67" s="90"/>
      <c r="AB67" s="90"/>
      <c r="AC67" s="90"/>
      <c r="AD67" s="90"/>
      <c r="AE67" s="184" t="str">
        <f>IF(LEN(TRIM('3 Освоение программы'!B121))=0," ",'3 Освоение программы'!B121)</f>
        <v xml:space="preserve"> </v>
      </c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93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93"/>
      <c r="AW67" s="173" t="str">
        <f>IF(LEN(TRIM('3 Освоение программы'!D121))=0," ",'3 Освоение программы'!D121)</f>
        <v xml:space="preserve"> </v>
      </c>
      <c r="AX67" s="173"/>
      <c r="AY67" s="173"/>
      <c r="AZ67" s="173"/>
      <c r="BA67" s="173"/>
      <c r="BB67" s="90"/>
      <c r="BC67" s="104"/>
    </row>
    <row r="68" spans="1:55" ht="9.9499999999999993" customHeight="1" x14ac:dyDescent="0.25">
      <c r="A68" s="91"/>
      <c r="B68" s="90"/>
      <c r="C68" s="175" t="str">
        <f>IF(LEN(TRIM('3 Освоение программы'!B54))=0," ",'3 Освоение программы'!B54)</f>
        <v>Дисциплина 53</v>
      </c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15"/>
      <c r="P68" s="172" t="str">
        <f>IF(LEN(TRIM('3 Освоение программы'!C54))=0," ",'3 Освоение программы'!C54)</f>
        <v>?? з.е.</v>
      </c>
      <c r="Q68" s="172"/>
      <c r="R68" s="172"/>
      <c r="S68" s="114"/>
      <c r="T68" s="114"/>
      <c r="U68" s="172" t="str">
        <f>IF(LEN(TRIM('3 Освоение программы'!D54))=0," ",'3 Освоение программы'!D54)</f>
        <v>оценка</v>
      </c>
      <c r="V68" s="172"/>
      <c r="W68" s="172"/>
      <c r="X68" s="172"/>
      <c r="Y68" s="90"/>
      <c r="Z68" s="90"/>
      <c r="AA68" s="90"/>
      <c r="AB68" s="90"/>
      <c r="AC68" s="90"/>
      <c r="AD68" s="90"/>
      <c r="AE68" s="184" t="str">
        <f>IF(LEN(TRIM('3 Освоение программы'!B122))=0," ",'3 Освоение программы'!B122)</f>
        <v xml:space="preserve"> </v>
      </c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93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93"/>
      <c r="AW68" s="173" t="str">
        <f>IF(LEN(TRIM('3 Освоение программы'!D122))=0," ",'3 Освоение программы'!D122)</f>
        <v xml:space="preserve"> </v>
      </c>
      <c r="AX68" s="173"/>
      <c r="AY68" s="173"/>
      <c r="AZ68" s="173"/>
      <c r="BA68" s="173"/>
      <c r="BB68" s="90"/>
      <c r="BC68" s="104"/>
    </row>
    <row r="69" spans="1:55" ht="9.9499999999999993" customHeight="1" x14ac:dyDescent="0.25">
      <c r="A69" s="91"/>
      <c r="B69" s="90"/>
      <c r="C69" s="175" t="str">
        <f>IF(LEN(TRIM('3 Освоение программы'!B55))=0," ",'3 Освоение программы'!B55)</f>
        <v>Дисциплина 54</v>
      </c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15"/>
      <c r="P69" s="172" t="str">
        <f>IF(LEN(TRIM('3 Освоение программы'!C55))=0," ",'3 Освоение программы'!C55)</f>
        <v>?? з.е.</v>
      </c>
      <c r="Q69" s="172"/>
      <c r="R69" s="172"/>
      <c r="S69" s="114"/>
      <c r="T69" s="114"/>
      <c r="U69" s="172" t="str">
        <f>IF(LEN(TRIM('3 Освоение программы'!D55))=0," ",'3 Освоение программы'!D55)</f>
        <v>оценка</v>
      </c>
      <c r="V69" s="172"/>
      <c r="W69" s="172"/>
      <c r="X69" s="172"/>
      <c r="Y69" s="90"/>
      <c r="Z69" s="90"/>
      <c r="AA69" s="90"/>
      <c r="AB69" s="90"/>
      <c r="AC69" s="90"/>
      <c r="AD69" s="90"/>
      <c r="AE69" s="184" t="str">
        <f>IF(LEN(TRIM('3 Освоение программы'!B123))=0," ",'3 Освоение программы'!B123)</f>
        <v xml:space="preserve"> </v>
      </c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93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93"/>
      <c r="AW69" s="173" t="str">
        <f>IF(LEN(TRIM('3 Освоение программы'!D123))=0," ",'3 Освоение программы'!D123)</f>
        <v xml:space="preserve"> </v>
      </c>
      <c r="AX69" s="173"/>
      <c r="AY69" s="173"/>
      <c r="AZ69" s="173"/>
      <c r="BA69" s="173"/>
      <c r="BB69" s="90"/>
      <c r="BC69" s="104"/>
    </row>
    <row r="70" spans="1:55" ht="9.9499999999999993" customHeight="1" x14ac:dyDescent="0.25">
      <c r="A70" s="91"/>
      <c r="B70" s="90"/>
      <c r="C70" s="175" t="str">
        <f>IF(LEN(TRIM('3 Освоение программы'!B56))=0," ",'3 Освоение программы'!B56)</f>
        <v>Дисциплина 55</v>
      </c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15"/>
      <c r="P70" s="172" t="str">
        <f>IF(LEN(TRIM('3 Освоение программы'!C56))=0," ",'3 Освоение программы'!C56)</f>
        <v>?? з.е.</v>
      </c>
      <c r="Q70" s="172"/>
      <c r="R70" s="172"/>
      <c r="S70" s="114"/>
      <c r="T70" s="114"/>
      <c r="U70" s="172" t="str">
        <f>IF(LEN(TRIM('3 Освоение программы'!D56))=0," ",'3 Освоение программы'!D56)</f>
        <v>оценка</v>
      </c>
      <c r="V70" s="172"/>
      <c r="W70" s="172"/>
      <c r="X70" s="172"/>
      <c r="Y70" s="90"/>
      <c r="Z70" s="90"/>
      <c r="AA70" s="90"/>
      <c r="AB70" s="90"/>
      <c r="AC70" s="90"/>
      <c r="AD70" s="90"/>
      <c r="AE70" s="184" t="str">
        <f>IF(LEN(TRIM('3 Освоение программы'!B124))=0," ",'3 Освоение программы'!B124)</f>
        <v xml:space="preserve"> </v>
      </c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93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93"/>
      <c r="AW70" s="173" t="str">
        <f>IF(LEN(TRIM('3 Освоение программы'!D124))=0," ",'3 Освоение программы'!D124)</f>
        <v xml:space="preserve"> </v>
      </c>
      <c r="AX70" s="173"/>
      <c r="AY70" s="173"/>
      <c r="AZ70" s="173"/>
      <c r="BA70" s="173"/>
      <c r="BB70" s="90"/>
      <c r="BC70" s="104"/>
    </row>
    <row r="71" spans="1:55" ht="9.9499999999999993" customHeight="1" x14ac:dyDescent="0.25">
      <c r="A71" s="91"/>
      <c r="B71" s="90"/>
      <c r="C71" s="175" t="str">
        <f>IF(LEN(TRIM('3 Освоение программы'!B57))=0," ",'3 Освоение программы'!B57)</f>
        <v>Дисциплина 56</v>
      </c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15"/>
      <c r="P71" s="172" t="str">
        <f>IF(LEN(TRIM('3 Освоение программы'!C57))=0," ",'3 Освоение программы'!C57)</f>
        <v>?? з.е.</v>
      </c>
      <c r="Q71" s="172"/>
      <c r="R71" s="172"/>
      <c r="S71" s="114"/>
      <c r="T71" s="114"/>
      <c r="U71" s="172" t="str">
        <f>IF(LEN(TRIM('3 Освоение программы'!D57))=0," ",'3 Освоение программы'!D57)</f>
        <v>оценка</v>
      </c>
      <c r="V71" s="172"/>
      <c r="W71" s="172"/>
      <c r="X71" s="172"/>
      <c r="Y71" s="90"/>
      <c r="Z71" s="90"/>
      <c r="AA71" s="90"/>
      <c r="AB71" s="90"/>
      <c r="AC71" s="90"/>
      <c r="AD71" s="90"/>
      <c r="AE71" s="184" t="str">
        <f>IF(LEN(TRIM('3 Освоение программы'!B125))=0," ",'3 Освоение программы'!B125)</f>
        <v xml:space="preserve"> </v>
      </c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93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93"/>
      <c r="AW71" s="173" t="str">
        <f>IF(LEN(TRIM('3 Освоение программы'!D125))=0," ",'3 Освоение программы'!D125)</f>
        <v xml:space="preserve"> </v>
      </c>
      <c r="AX71" s="173"/>
      <c r="AY71" s="173"/>
      <c r="AZ71" s="173"/>
      <c r="BA71" s="173"/>
      <c r="BB71" s="90"/>
      <c r="BC71" s="104"/>
    </row>
    <row r="72" spans="1:55" ht="9.9499999999999993" customHeight="1" x14ac:dyDescent="0.25">
      <c r="A72" s="91"/>
      <c r="B72" s="90"/>
      <c r="C72" s="175" t="str">
        <f>IF(LEN(TRIM('3 Освоение программы'!B58))=0," ",'3 Освоение программы'!B58)</f>
        <v>Дисциплина 57</v>
      </c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15"/>
      <c r="P72" s="172" t="str">
        <f>IF(LEN(TRIM('3 Освоение программы'!C58))=0," ",'3 Освоение программы'!C58)</f>
        <v>?? з.е.</v>
      </c>
      <c r="Q72" s="172"/>
      <c r="R72" s="172"/>
      <c r="S72" s="114"/>
      <c r="T72" s="114"/>
      <c r="U72" s="172" t="str">
        <f>IF(LEN(TRIM('3 Освоение программы'!D58))=0," ",'3 Освоение программы'!D58)</f>
        <v>оценка</v>
      </c>
      <c r="V72" s="172"/>
      <c r="W72" s="172"/>
      <c r="X72" s="172"/>
      <c r="Y72" s="90"/>
      <c r="Z72" s="90"/>
      <c r="AA72" s="90"/>
      <c r="AB72" s="90"/>
      <c r="AC72" s="90"/>
      <c r="AD72" s="90"/>
      <c r="AE72" s="184" t="str">
        <f>IF(LEN(TRIM('3 Освоение программы'!B126))=0," ",'3 Освоение программы'!B126)</f>
        <v xml:space="preserve"> </v>
      </c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93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93"/>
      <c r="AW72" s="173" t="str">
        <f>IF(LEN(TRIM('3 Освоение программы'!D126))=0," ",'3 Освоение программы'!D126)</f>
        <v xml:space="preserve"> </v>
      </c>
      <c r="AX72" s="173"/>
      <c r="AY72" s="173"/>
      <c r="AZ72" s="173"/>
      <c r="BA72" s="173"/>
      <c r="BB72" s="90"/>
      <c r="BC72" s="104"/>
    </row>
    <row r="73" spans="1:55" ht="9.9499999999999993" customHeight="1" x14ac:dyDescent="0.25">
      <c r="A73" s="91"/>
      <c r="B73" s="90"/>
      <c r="C73" s="175" t="str">
        <f>IF(LEN(TRIM('3 Освоение программы'!B59))=0," ",'3 Освоение программы'!B59)</f>
        <v>Дисциплина 58</v>
      </c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15"/>
      <c r="P73" s="172" t="str">
        <f>IF(LEN(TRIM('3 Освоение программы'!C59))=0," ",'3 Освоение программы'!C59)</f>
        <v>?? з.е.</v>
      </c>
      <c r="Q73" s="172"/>
      <c r="R73" s="172"/>
      <c r="S73" s="114"/>
      <c r="T73" s="114"/>
      <c r="U73" s="172" t="str">
        <f>IF(LEN(TRIM('3 Освоение программы'!D59))=0," ",'3 Освоение программы'!D59)</f>
        <v>оценка</v>
      </c>
      <c r="V73" s="172"/>
      <c r="W73" s="172"/>
      <c r="X73" s="172"/>
      <c r="Y73" s="90"/>
      <c r="Z73" s="90"/>
      <c r="AA73" s="90"/>
      <c r="AB73" s="90"/>
      <c r="AC73" s="90"/>
      <c r="AD73" s="90"/>
      <c r="AE73" s="184" t="str">
        <f>IF(LEN(TRIM('3 Освоение программы'!B127))=0," ",'3 Освоение программы'!B127)</f>
        <v xml:space="preserve"> </v>
      </c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93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93"/>
      <c r="AW73" s="173" t="str">
        <f>IF(LEN(TRIM('3 Освоение программы'!D127))=0," ",'3 Освоение программы'!D127)</f>
        <v xml:space="preserve"> </v>
      </c>
      <c r="AX73" s="173"/>
      <c r="AY73" s="173"/>
      <c r="AZ73" s="173"/>
      <c r="BA73" s="173"/>
      <c r="BB73" s="90"/>
      <c r="BC73" s="104"/>
    </row>
    <row r="74" spans="1:55" ht="9.9499999999999993" customHeight="1" x14ac:dyDescent="0.25">
      <c r="A74" s="91"/>
      <c r="B74" s="90"/>
      <c r="C74" s="175" t="str">
        <f>IF(LEN(TRIM('3 Освоение программы'!B60))=0," ",'3 Освоение программы'!B60)</f>
        <v>Дисциплина 59</v>
      </c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15"/>
      <c r="P74" s="172" t="str">
        <f>IF(LEN(TRIM('3 Освоение программы'!C60))=0," ",'3 Освоение программы'!C60)</f>
        <v>?? з.е.</v>
      </c>
      <c r="Q74" s="172"/>
      <c r="R74" s="172"/>
      <c r="S74" s="114"/>
      <c r="T74" s="114"/>
      <c r="U74" s="172" t="str">
        <f>IF(LEN(TRIM('3 Освоение программы'!D60))=0," ",'3 Освоение программы'!D60)</f>
        <v>оценка</v>
      </c>
      <c r="V74" s="172"/>
      <c r="W74" s="172"/>
      <c r="X74" s="172"/>
      <c r="Y74" s="90"/>
      <c r="Z74" s="90"/>
      <c r="AA74" s="90"/>
      <c r="AB74" s="90"/>
      <c r="AC74" s="90"/>
      <c r="AD74" s="90"/>
      <c r="AE74" s="184" t="str">
        <f>IF(LEN(TRIM('3 Освоение программы'!B128))=0," ",'3 Освоение программы'!B128)</f>
        <v xml:space="preserve"> </v>
      </c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93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93"/>
      <c r="AW74" s="173" t="str">
        <f>IF(LEN(TRIM('3 Освоение программы'!D128))=0," ",'3 Освоение программы'!D128)</f>
        <v xml:space="preserve"> </v>
      </c>
      <c r="AX74" s="173"/>
      <c r="AY74" s="173"/>
      <c r="AZ74" s="173"/>
      <c r="BA74" s="173"/>
      <c r="BB74" s="90"/>
      <c r="BC74" s="104"/>
    </row>
    <row r="75" spans="1:55" ht="9.9499999999999993" customHeight="1" x14ac:dyDescent="0.25">
      <c r="A75" s="91"/>
      <c r="B75" s="90"/>
      <c r="C75" s="175" t="str">
        <f>IF(LEN(TRIM('3 Освоение программы'!B61))=0," ",'3 Освоение программы'!B61)</f>
        <v>Дисциплина 60</v>
      </c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15"/>
      <c r="P75" s="172" t="str">
        <f>IF(LEN(TRIM('3 Освоение программы'!C61))=0," ",'3 Освоение программы'!C61)</f>
        <v>?? з.е.</v>
      </c>
      <c r="Q75" s="172"/>
      <c r="R75" s="172"/>
      <c r="S75" s="114"/>
      <c r="T75" s="114"/>
      <c r="U75" s="172" t="str">
        <f>IF(LEN(TRIM('3 Освоение программы'!D61))=0," ",'3 Освоение программы'!D61)</f>
        <v>оценка</v>
      </c>
      <c r="V75" s="172"/>
      <c r="W75" s="172"/>
      <c r="X75" s="172"/>
      <c r="Y75" s="90"/>
      <c r="Z75" s="90"/>
      <c r="AA75" s="90"/>
      <c r="AB75" s="90"/>
      <c r="AC75" s="90"/>
      <c r="AD75" s="90"/>
      <c r="AE75" s="184" t="str">
        <f>IF(LEN(TRIM('3 Освоение программы'!B129))=0," ",'3 Освоение программы'!B129)</f>
        <v xml:space="preserve"> </v>
      </c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93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93"/>
      <c r="AW75" s="173" t="str">
        <f>IF(LEN(TRIM('3 Освоение программы'!D129))=0," ",'3 Освоение программы'!D129)</f>
        <v xml:space="preserve"> </v>
      </c>
      <c r="AX75" s="173"/>
      <c r="AY75" s="173"/>
      <c r="AZ75" s="173"/>
      <c r="BA75" s="173"/>
      <c r="BB75" s="90"/>
      <c r="BC75" s="104"/>
    </row>
    <row r="76" spans="1:55" ht="9.9499999999999993" customHeight="1" x14ac:dyDescent="0.25">
      <c r="A76" s="91"/>
      <c r="B76" s="90"/>
      <c r="C76" s="175" t="str">
        <f>IF(LEN(TRIM('3 Освоение программы'!B62))=0," ",'3 Освоение программы'!B62)</f>
        <v>Дисциплина 61</v>
      </c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15"/>
      <c r="P76" s="172" t="str">
        <f>IF(LEN(TRIM('3 Освоение программы'!C62))=0," ",'3 Освоение программы'!C62)</f>
        <v>?? з.е.</v>
      </c>
      <c r="Q76" s="172"/>
      <c r="R76" s="172"/>
      <c r="S76" s="114"/>
      <c r="T76" s="114"/>
      <c r="U76" s="172" t="str">
        <f>IF(LEN(TRIM('3 Освоение программы'!D62))=0," ",'3 Освоение программы'!D62)</f>
        <v>оценка</v>
      </c>
      <c r="V76" s="172"/>
      <c r="W76" s="172"/>
      <c r="X76" s="172"/>
      <c r="Y76" s="90"/>
      <c r="Z76" s="90"/>
      <c r="AA76" s="90"/>
      <c r="AB76" s="90"/>
      <c r="AC76" s="90"/>
      <c r="AD76" s="90"/>
      <c r="AE76" s="184" t="str">
        <f>IF(LEN(TRIM('3 Освоение программы'!B130))=0," ",'3 Освоение программы'!B130)</f>
        <v xml:space="preserve"> </v>
      </c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93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93"/>
      <c r="AW76" s="173" t="str">
        <f>IF(LEN(TRIM('3 Освоение программы'!D130))=0," ",'3 Освоение программы'!D130)</f>
        <v xml:space="preserve"> </v>
      </c>
      <c r="AX76" s="173"/>
      <c r="AY76" s="173"/>
      <c r="AZ76" s="173"/>
      <c r="BA76" s="173"/>
      <c r="BB76" s="90"/>
      <c r="BC76" s="104"/>
    </row>
    <row r="77" spans="1:55" ht="9.9499999999999993" customHeight="1" x14ac:dyDescent="0.25">
      <c r="A77" s="91"/>
      <c r="B77" s="90"/>
      <c r="C77" s="175" t="str">
        <f>IF(LEN(TRIM('3 Освоение программы'!B63))=0," ",'3 Освоение программы'!B63)</f>
        <v>Дисциплина 62</v>
      </c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15"/>
      <c r="P77" s="172" t="str">
        <f>IF(LEN(TRIM('3 Освоение программы'!C63))=0," ",'3 Освоение программы'!C63)</f>
        <v>?? з.е.</v>
      </c>
      <c r="Q77" s="172"/>
      <c r="R77" s="172"/>
      <c r="S77" s="114"/>
      <c r="T77" s="114"/>
      <c r="U77" s="172" t="str">
        <f>IF(LEN(TRIM('3 Освоение программы'!D63))=0," ",'3 Освоение программы'!D63)</f>
        <v>оценка</v>
      </c>
      <c r="V77" s="172"/>
      <c r="W77" s="172"/>
      <c r="X77" s="172"/>
      <c r="Y77" s="90"/>
      <c r="Z77" s="90"/>
      <c r="AA77" s="90"/>
      <c r="AB77" s="90"/>
      <c r="AC77" s="90"/>
      <c r="AD77" s="90"/>
      <c r="AE77" s="184" t="str">
        <f>IF(LEN(TRIM('3 Освоение программы'!B131))=0," ",'3 Освоение программы'!B131)</f>
        <v xml:space="preserve"> </v>
      </c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93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93"/>
      <c r="AW77" s="173" t="str">
        <f>IF(LEN(TRIM('3 Освоение программы'!D131))=0," ",'3 Освоение программы'!D131)</f>
        <v xml:space="preserve"> </v>
      </c>
      <c r="AX77" s="173"/>
      <c r="AY77" s="173"/>
      <c r="AZ77" s="173"/>
      <c r="BA77" s="173"/>
      <c r="BB77" s="90"/>
      <c r="BC77" s="104"/>
    </row>
    <row r="78" spans="1:55" ht="9.9499999999999993" customHeight="1" x14ac:dyDescent="0.25">
      <c r="A78" s="91"/>
      <c r="B78" s="90"/>
      <c r="C78" s="175" t="str">
        <f>IF(LEN(TRIM('3 Освоение программы'!B64))=0," ",'3 Освоение программы'!B64)</f>
        <v>Дисциплина 63</v>
      </c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15"/>
      <c r="P78" s="172" t="str">
        <f>IF(LEN(TRIM('3 Освоение программы'!C64))=0," ",'3 Освоение программы'!C64)</f>
        <v>?? з.е.</v>
      </c>
      <c r="Q78" s="172"/>
      <c r="R78" s="172"/>
      <c r="S78" s="114"/>
      <c r="T78" s="114"/>
      <c r="U78" s="172" t="str">
        <f>IF(LEN(TRIM('3 Освоение программы'!D64))=0," ",'3 Освоение программы'!D64)</f>
        <v>оценка</v>
      </c>
      <c r="V78" s="172"/>
      <c r="W78" s="172"/>
      <c r="X78" s="172"/>
      <c r="Y78" s="90"/>
      <c r="Z78" s="90"/>
      <c r="AA78" s="90"/>
      <c r="AB78" s="90"/>
      <c r="AC78" s="90"/>
      <c r="AD78" s="90"/>
      <c r="AE78" s="184" t="str">
        <f>IF(LEN(TRIM('3 Освоение программы'!B132))=0," ",'3 Освоение программы'!B132)</f>
        <v xml:space="preserve"> </v>
      </c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93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93"/>
      <c r="AW78" s="173" t="str">
        <f>IF(LEN(TRIM('3 Освоение программы'!D132))=0," ",'3 Освоение программы'!D132)</f>
        <v xml:space="preserve"> </v>
      </c>
      <c r="AX78" s="173"/>
      <c r="AY78" s="173"/>
      <c r="AZ78" s="173"/>
      <c r="BA78" s="173"/>
      <c r="BB78" s="90"/>
      <c r="BC78" s="104"/>
    </row>
    <row r="79" spans="1:55" ht="9.9499999999999993" customHeight="1" x14ac:dyDescent="0.25">
      <c r="A79" s="91"/>
      <c r="B79" s="90"/>
      <c r="C79" s="175" t="str">
        <f>IF(LEN(TRIM('3 Освоение программы'!B65))=0," ",'3 Освоение программы'!B65)</f>
        <v>Дисциплина 64</v>
      </c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15"/>
      <c r="P79" s="172" t="str">
        <f>IF(LEN(TRIM('3 Освоение программы'!C65))=0," ",'3 Освоение программы'!C65)</f>
        <v>?? з.е.</v>
      </c>
      <c r="Q79" s="172"/>
      <c r="R79" s="172"/>
      <c r="S79" s="114"/>
      <c r="T79" s="114"/>
      <c r="U79" s="172" t="str">
        <f>IF(LEN(TRIM('3 Освоение программы'!D65))=0," ",'3 Освоение программы'!D65)</f>
        <v>оценка</v>
      </c>
      <c r="V79" s="172"/>
      <c r="W79" s="172"/>
      <c r="X79" s="172"/>
      <c r="Y79" s="90"/>
      <c r="Z79" s="90"/>
      <c r="AA79" s="90"/>
      <c r="AB79" s="90"/>
      <c r="AC79" s="90"/>
      <c r="AD79" s="90"/>
      <c r="AE79" s="184" t="str">
        <f>IF(LEN(TRIM('3 Освоение программы'!B133))=0," ",'3 Освоение программы'!B133)</f>
        <v xml:space="preserve"> </v>
      </c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93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93"/>
      <c r="AW79" s="173" t="str">
        <f>IF(LEN(TRIM('3 Освоение программы'!D133))=0," ",'3 Освоение программы'!D133)</f>
        <v xml:space="preserve"> </v>
      </c>
      <c r="AX79" s="173"/>
      <c r="AY79" s="173"/>
      <c r="AZ79" s="173"/>
      <c r="BA79" s="173"/>
      <c r="BB79" s="90"/>
      <c r="BC79" s="104"/>
    </row>
    <row r="80" spans="1:55" ht="9.9499999999999993" customHeight="1" x14ac:dyDescent="0.25">
      <c r="A80" s="91"/>
      <c r="B80" s="90"/>
      <c r="C80" s="175" t="str">
        <f>IF(LEN(TRIM('3 Освоение программы'!B66))=0," ",'3 Освоение программы'!B66)</f>
        <v>Дисциплина 65</v>
      </c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15"/>
      <c r="P80" s="172" t="str">
        <f>IF(LEN(TRIM('3 Освоение программы'!C66))=0," ",'3 Освоение программы'!C66)</f>
        <v>?? з.е.</v>
      </c>
      <c r="Q80" s="172"/>
      <c r="R80" s="172"/>
      <c r="S80" s="114"/>
      <c r="T80" s="114"/>
      <c r="U80" s="172" t="str">
        <f>IF(LEN(TRIM('3 Освоение программы'!D66))=0," ",'3 Освоение программы'!D66)</f>
        <v>оценка</v>
      </c>
      <c r="V80" s="172"/>
      <c r="W80" s="172"/>
      <c r="X80" s="172"/>
      <c r="Y80" s="90"/>
      <c r="Z80" s="90"/>
      <c r="AA80" s="90"/>
      <c r="AB80" s="90"/>
      <c r="AC80" s="90"/>
      <c r="AD80" s="90"/>
      <c r="AE80" s="184" t="str">
        <f>IF(LEN(TRIM('3 Освоение программы'!B134))=0," ",'3 Освоение программы'!B134)</f>
        <v xml:space="preserve"> </v>
      </c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93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93"/>
      <c r="AW80" s="173" t="str">
        <f>IF(LEN(TRIM('3 Освоение программы'!D134))=0," ",'3 Освоение программы'!D134)</f>
        <v xml:space="preserve"> </v>
      </c>
      <c r="AX80" s="173"/>
      <c r="AY80" s="173"/>
      <c r="AZ80" s="173"/>
      <c r="BA80" s="173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93"/>
      <c r="AR81" s="173"/>
      <c r="AS81" s="173"/>
      <c r="AT81" s="173"/>
      <c r="AU81" s="93"/>
      <c r="AV81" s="93"/>
      <c r="AW81" s="173"/>
      <c r="AX81" s="173"/>
      <c r="AY81" s="173"/>
      <c r="AZ81" s="173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2024-05-23T14:51:04Z</dcterms:modified>
</cp:coreProperties>
</file>